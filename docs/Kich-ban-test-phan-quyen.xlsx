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Tài khoản test" sheetId="3" state="visible" r:id="rId3"/>
    <sheet xmlns:r="http://schemas.openxmlformats.org/officeDocument/2006/relationships" name="Kịch bản test" sheetId="4" state="visible" r:id="rId4"/>
    <sheet xmlns:r="http://schemas.openxmlformats.org/officeDocument/2006/relationships" name="Ma trận giao việc" sheetId="5" state="visible" r:id="rId5"/>
  </sheets>
  <definedNames>
    <definedName name="_xlnm._FilterDatabase" localSheetId="3" hidden="1">'Kịch bản test'!$A$1:$N$56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;-0.0%;-"/>
  </numFmts>
  <fonts count="11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4E78"/>
      <sz val="11"/>
    </font>
    <font>
      <name val="Arial"/>
      <b val="1"/>
      <color rgb="00FFFFFF"/>
      <sz val="10"/>
    </font>
    <font>
      <name val="Arial"/>
      <i val="1"/>
      <color rgb="00000000"/>
      <sz val="10"/>
    </font>
    <font>
      <name val="Arial"/>
      <b val="1"/>
      <color rgb="001F4E78"/>
      <sz val="10"/>
    </font>
    <font>
      <name val="Arial"/>
      <color rgb="00000000"/>
      <sz val="9"/>
    </font>
    <font>
      <name val="Arial"/>
      <b val="1"/>
      <color rgb="001F4E78"/>
      <sz val="12"/>
    </font>
    <font>
      <name val="Arial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0" applyAlignment="1" pivotButton="0" quotePrefix="0" xfId="0">
      <alignment vertical="top" wrapText="1"/>
    </xf>
    <xf numFmtId="0" fontId="9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2" fillId="6" borderId="1" pivotButton="0" quotePrefix="0" xfId="0"/>
    <xf numFmtId="0" fontId="2" fillId="6" borderId="1" applyAlignment="1" pivotButton="0" quotePrefix="0" xfId="0">
      <alignment horizontal="center"/>
    </xf>
    <xf numFmtId="165" fontId="2" fillId="6" borderId="1" applyAlignment="1" pivotButton="0" quotePrefix="0" xfId="0">
      <alignment horizontal="center"/>
    </xf>
    <xf numFmtId="0" fontId="2" fillId="0" borderId="0" pivotButton="0" quotePrefix="0" xfId="0"/>
    <xf numFmtId="0" fontId="10" fillId="0" borderId="0" pivotButton="0" quotePrefix="0" xfId="0"/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164" fontId="3" fillId="2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5" fillId="3" borderId="1" applyAlignment="1" pivotButton="0" quotePrefix="0" xfId="0">
      <alignment horizontal="center" vertical="center" textRotation="90"/>
    </xf>
    <xf numFmtId="0" fontId="2" fillId="0" borderId="1" pivotButton="0" quotePrefix="0" xfId="0"/>
    <xf numFmtId="0" fontId="8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KỊCH BẢN TEST – PHÂN QUYỀN CHỨC VỤ / ROLE / PERMISSION</t>
        </is>
      </c>
    </row>
    <row r="2">
      <c r="A2" s="2" t="inlineStr">
        <is>
          <t>Căn cứ</t>
        </is>
      </c>
      <c r="B2" s="3" t="inlineStr">
        <is>
          <t>Đặc tả phân quyền người dùng và chức vụ (Dac_ta_phan_quyen_chuc_vu_role_permission.docx), commit a71c2b5 + 2b325c6 trên master.</t>
        </is>
      </c>
    </row>
    <row r="3">
      <c r="A3" s="2" t="inlineStr">
        <is>
          <t>Phạm vi</t>
        </is>
      </c>
      <c r="B3" s="3" t="inlineStr">
        <is>
          <t>Migration Flyway V2, xác thực/JWT, bảo vệ API, phạm vi quản lý (AuthorizationService), quản lý user/đơn vị, giao việc – KPI – thống kê trên giao diện VLDC, audit log.</t>
        </is>
      </c>
    </row>
    <row r="4">
      <c r="A4" s="2" t="inlineStr">
        <is>
          <t>Nguyên tắc cần kiểm chứng</t>
        </is>
      </c>
      <c r="B4" s="3" t="inlineStr">
        <is>
          <t>Permission quyết định ĐƯỢC LÀM CHỨC NĂNG GÌ; chức vụ + đơn vị quyết định ĐƯỢC LÀM VỚI AI. Người quản lý chỉ tác động lên người có cấp thấp hơn trong đơn vị mình và đơn vị con.</t>
        </is>
      </c>
    </row>
    <row r="5">
      <c r="A5" s="4" t="inlineStr"/>
    </row>
    <row r="6">
      <c r="A6" s="4" t="inlineStr">
        <is>
          <t>CHUẨN BỊ</t>
        </is>
      </c>
    </row>
    <row r="7">
      <c r="A7" s="2" t="inlineStr">
        <is>
          <t>1. Môi trường</t>
        </is>
      </c>
      <c r="B7" s="3" t="inlineStr">
        <is>
          <t>Backend đã khởi động với FLYWAY_ENABLED=true (docker compose). BASE = địa chỉ backend, ví dụ http://&lt;server&gt;:1122 hoặc https://&lt;domain&gt; qua nginx.</t>
        </is>
      </c>
    </row>
    <row r="8">
      <c r="A8" s="2" t="inlineStr">
        <is>
          <t>2. Tài khoản</t>
        </is>
      </c>
      <c r="B8" s="3" t="inlineStr">
        <is>
          <t>13 tài khoản VLDC ở sheet 'Tài khoản test' + tài khoản admin. Mật khẩu: theo seed demo (environment/mysql/init/vldc_menu_permission.sql, mục 5).</t>
        </is>
      </c>
    </row>
    <row r="9">
      <c r="A9" s="2" t="inlineStr">
        <is>
          <t>3. Lấy token</t>
        </is>
      </c>
      <c r="B9" s="3" t="inlineStr">
        <is>
          <t>POST {BASE}/api/authenticate body {"email":"&lt;email&gt;","password":"&lt;mật khẩu&gt;"} → lấy data.token, gửi kèm header Authorization: Bearer &lt;token&gt;.</t>
        </is>
      </c>
    </row>
    <row r="10">
      <c r="A10" s="2" t="inlineStr">
        <is>
          <t>4. Lấy id người dùng</t>
        </is>
      </c>
      <c r="B10" s="3" t="inlineStr">
        <is>
          <t>GET {BASE}/api/org/directory → mục people[] có id, roleCodes, positionCode, orgUnitCode.</t>
        </is>
      </c>
    </row>
    <row r="11">
      <c r="A11" s="2" t="inlineStr">
        <is>
          <t>5. Công cụ</t>
        </is>
      </c>
      <c r="B11" s="3" t="inlineStr">
        <is>
          <t>Postman / curl cho nhóm API; trình duyệt (đăng nhập từng tài khoản) cho nhóm giao diện; MySQL client cho nhóm dữ liệu.</t>
        </is>
      </c>
    </row>
    <row r="12">
      <c r="A12" s="4" t="inlineStr"/>
    </row>
    <row r="13">
      <c r="A13" s="4" t="inlineStr">
        <is>
          <t>CÁCH GHI KẾT QUẢ</t>
        </is>
      </c>
    </row>
    <row r="14">
      <c r="A14" s="2" t="inlineStr">
        <is>
          <t>Ô được nhập</t>
        </is>
      </c>
      <c r="B14" s="3" t="inlineStr">
        <is>
          <t>Chỉ nhập vào các cột nền vàng ở sheet 'Kịch bản test': Kết quả thực tế, Trạng thái, Người test, Ngày test, Ghi chú.</t>
        </is>
      </c>
    </row>
    <row r="15">
      <c r="A15" s="2" t="inlineStr">
        <is>
          <t>Trạng thái</t>
        </is>
      </c>
      <c r="B15" s="3" t="inlineStr">
        <is>
          <t>Chọn trong danh sách: Chưa test / Pass / Fail / Blocked. Sheet 'Tổng hợp' tự đếm theo cột này.</t>
        </is>
      </c>
    </row>
    <row r="16">
      <c r="A16" s="2" t="inlineStr">
        <is>
          <t>Ví dụ dòng đã ghi</t>
        </is>
      </c>
      <c r="B16" s="5" t="inlineStr">
        <is>
          <t>TC-API-03 | Kết quả thực tế: 'HTTP 403, body code=403 Forbidden' | Trạng thái: Pass | Người test: Sơn | Ngày test: 27/10/2026</t>
        </is>
      </c>
    </row>
    <row r="17">
      <c r="A17" s="2" t="inlineStr">
        <is>
          <t>Khi Fail</t>
        </is>
      </c>
      <c r="B17" s="3" t="inlineStr">
        <is>
          <t>Ghi request/response hoặc ảnh chụp màn hình vào Ghi chú; với lỗi giao diện ghi tài khoản + trang + thao tác.</t>
        </is>
      </c>
    </row>
    <row r="18">
      <c r="A18" s="2" t="inlineStr">
        <is>
          <t>Thứ tự chạy</t>
        </is>
      </c>
      <c r="B18" s="3" t="inlineStr">
        <is>
          <t>Nên chạy lần lượt: DB → AUTH → API → USER/ORG → UI → KPI → AUDIT. Các ca có tiền điều kiện 'khôi phục dữ liệu' cần trả lại trạng thái ban đầu sau khi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  <col width="9" customWidth="1" min="4" max="4"/>
    <col width="10" customWidth="1" min="5" max="5"/>
    <col width="11" customWidth="1" min="6" max="6"/>
    <col width="12" customWidth="1" min="7" max="7"/>
    <col width="14" customWidth="1" min="8" max="8"/>
  </cols>
  <sheetData>
    <row r="1">
      <c r="A1" s="6" t="inlineStr">
        <is>
          <t>TỔNG HỢP KẾT QUẢ TEST (tự tính từ sheet 'Kịch bản test')</t>
        </is>
      </c>
    </row>
    <row r="3">
      <c r="A3" s="7" t="inlineStr">
        <is>
          <t>Nhóm</t>
        </is>
      </c>
      <c r="B3" s="7" t="inlineStr">
        <is>
          <t>Tổng</t>
        </is>
      </c>
      <c r="C3" s="7" t="inlineStr">
        <is>
          <t>Pass</t>
        </is>
      </c>
      <c r="D3" s="7" t="inlineStr">
        <is>
          <t>Fail</t>
        </is>
      </c>
      <c r="E3" s="7" t="inlineStr">
        <is>
          <t>Blocked</t>
        </is>
      </c>
      <c r="F3" s="7" t="inlineStr">
        <is>
          <t>Chưa test</t>
        </is>
      </c>
      <c r="G3" s="7" t="inlineStr">
        <is>
          <t>Tỷ lệ Pass</t>
        </is>
      </c>
      <c r="H3" s="7" t="inlineStr">
        <is>
          <t>Tỷ lệ đã chạy</t>
        </is>
      </c>
    </row>
    <row r="4">
      <c r="A4" s="8" t="inlineStr">
        <is>
          <t>Dữ liệu &amp; migration</t>
        </is>
      </c>
      <c r="B4" s="9">
        <f>COUNTIF('Kịch bản test'!$B$2:$B$56,$A4)</f>
        <v/>
      </c>
      <c r="C4" s="9">
        <f>COUNTIFS('Kịch bản test'!$B$2:$B$56,$A4,'Kịch bản test'!$K$2:$K$56,"Pass")</f>
        <v/>
      </c>
      <c r="D4" s="9">
        <f>COUNTIFS('Kịch bản test'!$B$2:$B$56,$A4,'Kịch bản test'!$K$2:$K$56,"Fail")</f>
        <v/>
      </c>
      <c r="E4" s="9">
        <f>COUNTIFS('Kịch bản test'!$B$2:$B$56,$A4,'Kịch bản test'!$K$2:$K$56,"Blocked")</f>
        <v/>
      </c>
      <c r="F4" s="9">
        <f>COUNTIFS('Kịch bản test'!$B$2:$B$56,$A4,'Kịch bản test'!$K$2:$K$56,"Chưa test")</f>
        <v/>
      </c>
      <c r="G4" s="10">
        <f>IF(B4=0,0,C4/B4)</f>
        <v/>
      </c>
      <c r="H4" s="10">
        <f>IF(B4=0,0,(B4-F4)/B4)</f>
        <v/>
      </c>
    </row>
    <row r="5">
      <c r="A5" s="8" t="inlineStr">
        <is>
          <t>Đăng nhập, token, /me</t>
        </is>
      </c>
      <c r="B5" s="9">
        <f>COUNTIF('Kịch bản test'!$B$2:$B$56,$A5)</f>
        <v/>
      </c>
      <c r="C5" s="9">
        <f>COUNTIFS('Kịch bản test'!$B$2:$B$56,$A5,'Kịch bản test'!$K$2:$K$56,"Pass")</f>
        <v/>
      </c>
      <c r="D5" s="9">
        <f>COUNTIFS('Kịch bản test'!$B$2:$B$56,$A5,'Kịch bản test'!$K$2:$K$56,"Fail")</f>
        <v/>
      </c>
      <c r="E5" s="9">
        <f>COUNTIFS('Kịch bản test'!$B$2:$B$56,$A5,'Kịch bản test'!$K$2:$K$56,"Blocked")</f>
        <v/>
      </c>
      <c r="F5" s="9">
        <f>COUNTIFS('Kịch bản test'!$B$2:$B$56,$A5,'Kịch bản test'!$K$2:$K$56,"Chưa test")</f>
        <v/>
      </c>
      <c r="G5" s="10">
        <f>IF(B5=0,0,C5/B5)</f>
        <v/>
      </c>
      <c r="H5" s="10">
        <f>IF(B5=0,0,(B5-F5)/B5)</f>
        <v/>
      </c>
    </row>
    <row r="6">
      <c r="A6" s="8" t="inlineStr">
        <is>
          <t>Bảo vệ API &amp; phạm vi</t>
        </is>
      </c>
      <c r="B6" s="9">
        <f>COUNTIF('Kịch bản test'!$B$2:$B$56,$A6)</f>
        <v/>
      </c>
      <c r="C6" s="9">
        <f>COUNTIFS('Kịch bản test'!$B$2:$B$56,$A6,'Kịch bản test'!$K$2:$K$56,"Pass")</f>
        <v/>
      </c>
      <c r="D6" s="9">
        <f>COUNTIFS('Kịch bản test'!$B$2:$B$56,$A6,'Kịch bản test'!$K$2:$K$56,"Fail")</f>
        <v/>
      </c>
      <c r="E6" s="9">
        <f>COUNTIFS('Kịch bản test'!$B$2:$B$56,$A6,'Kịch bản test'!$K$2:$K$56,"Blocked")</f>
        <v/>
      </c>
      <c r="F6" s="9">
        <f>COUNTIFS('Kịch bản test'!$B$2:$B$56,$A6,'Kịch bản test'!$K$2:$K$56,"Chưa test")</f>
        <v/>
      </c>
      <c r="G6" s="10">
        <f>IF(B6=0,0,C6/B6)</f>
        <v/>
      </c>
      <c r="H6" s="10">
        <f>IF(B6=0,0,(B6-F6)/B6)</f>
        <v/>
      </c>
    </row>
    <row r="7">
      <c r="A7" s="8" t="inlineStr">
        <is>
          <t>Quản lý user, chức vụ, đơn vị</t>
        </is>
      </c>
      <c r="B7" s="9">
        <f>COUNTIF('Kịch bản test'!$B$2:$B$56,$A7)</f>
        <v/>
      </c>
      <c r="C7" s="9">
        <f>COUNTIFS('Kịch bản test'!$B$2:$B$56,$A7,'Kịch bản test'!$K$2:$K$56,"Pass")</f>
        <v/>
      </c>
      <c r="D7" s="9">
        <f>COUNTIFS('Kịch bản test'!$B$2:$B$56,$A7,'Kịch bản test'!$K$2:$K$56,"Fail")</f>
        <v/>
      </c>
      <c r="E7" s="9">
        <f>COUNTIFS('Kịch bản test'!$B$2:$B$56,$A7,'Kịch bản test'!$K$2:$K$56,"Blocked")</f>
        <v/>
      </c>
      <c r="F7" s="9">
        <f>COUNTIFS('Kịch bản test'!$B$2:$B$56,$A7,'Kịch bản test'!$K$2:$K$56,"Chưa test")</f>
        <v/>
      </c>
      <c r="G7" s="10">
        <f>IF(B7=0,0,C7/B7)</f>
        <v/>
      </c>
      <c r="H7" s="10">
        <f>IF(B7=0,0,(B7-F7)/B7)</f>
        <v/>
      </c>
    </row>
    <row r="8">
      <c r="A8" s="8" t="inlineStr">
        <is>
          <t>Giao việc trên giao diện VLDC</t>
        </is>
      </c>
      <c r="B8" s="9">
        <f>COUNTIF('Kịch bản test'!$B$2:$B$56,$A8)</f>
        <v/>
      </c>
      <c r="C8" s="9">
        <f>COUNTIFS('Kịch bản test'!$B$2:$B$56,$A8,'Kịch bản test'!$K$2:$K$56,"Pass")</f>
        <v/>
      </c>
      <c r="D8" s="9">
        <f>COUNTIFS('Kịch bản test'!$B$2:$B$56,$A8,'Kịch bản test'!$K$2:$K$56,"Fail")</f>
        <v/>
      </c>
      <c r="E8" s="9">
        <f>COUNTIFS('Kịch bản test'!$B$2:$B$56,$A8,'Kịch bản test'!$K$2:$K$56,"Blocked")</f>
        <v/>
      </c>
      <c r="F8" s="9">
        <f>COUNTIFS('Kịch bản test'!$B$2:$B$56,$A8,'Kịch bản test'!$K$2:$K$56,"Chưa test")</f>
        <v/>
      </c>
      <c r="G8" s="10">
        <f>IF(B8=0,0,C8/B8)</f>
        <v/>
      </c>
      <c r="H8" s="10">
        <f>IF(B8=0,0,(B8-F8)/B8)</f>
        <v/>
      </c>
    </row>
    <row r="9">
      <c r="A9" s="8" t="inlineStr">
        <is>
          <t>Phạm vi xem, KPI, thống kê</t>
        </is>
      </c>
      <c r="B9" s="9">
        <f>COUNTIF('Kịch bản test'!$B$2:$B$56,$A9)</f>
        <v/>
      </c>
      <c r="C9" s="9">
        <f>COUNTIFS('Kịch bản test'!$B$2:$B$56,$A9,'Kịch bản test'!$K$2:$K$56,"Pass")</f>
        <v/>
      </c>
      <c r="D9" s="9">
        <f>COUNTIFS('Kịch bản test'!$B$2:$B$56,$A9,'Kịch bản test'!$K$2:$K$56,"Fail")</f>
        <v/>
      </c>
      <c r="E9" s="9">
        <f>COUNTIFS('Kịch bản test'!$B$2:$B$56,$A9,'Kịch bản test'!$K$2:$K$56,"Blocked")</f>
        <v/>
      </c>
      <c r="F9" s="9">
        <f>COUNTIFS('Kịch bản test'!$B$2:$B$56,$A9,'Kịch bản test'!$K$2:$K$56,"Chưa test")</f>
        <v/>
      </c>
      <c r="G9" s="10">
        <f>IF(B9=0,0,C9/B9)</f>
        <v/>
      </c>
      <c r="H9" s="10">
        <f>IF(B9=0,0,(B9-F9)/B9)</f>
        <v/>
      </c>
    </row>
    <row r="10">
      <c r="A10" s="8" t="inlineStr">
        <is>
          <t>Audit log</t>
        </is>
      </c>
      <c r="B10" s="9">
        <f>COUNTIF('Kịch bản test'!$B$2:$B$56,$A10)</f>
        <v/>
      </c>
      <c r="C10" s="9">
        <f>COUNTIFS('Kịch bản test'!$B$2:$B$56,$A10,'Kịch bản test'!$K$2:$K$56,"Pass")</f>
        <v/>
      </c>
      <c r="D10" s="9">
        <f>COUNTIFS('Kịch bản test'!$B$2:$B$56,$A10,'Kịch bản test'!$K$2:$K$56,"Fail")</f>
        <v/>
      </c>
      <c r="E10" s="9">
        <f>COUNTIFS('Kịch bản test'!$B$2:$B$56,$A10,'Kịch bản test'!$K$2:$K$56,"Blocked")</f>
        <v/>
      </c>
      <c r="F10" s="9">
        <f>COUNTIFS('Kịch bản test'!$B$2:$B$56,$A10,'Kịch bản test'!$K$2:$K$56,"Chưa test")</f>
        <v/>
      </c>
      <c r="G10" s="10">
        <f>IF(B10=0,0,C10/B10)</f>
        <v/>
      </c>
      <c r="H10" s="10">
        <f>IF(B10=0,0,(B10-F10)/B10)</f>
        <v/>
      </c>
    </row>
    <row r="11">
      <c r="A11" s="11" t="inlineStr">
        <is>
          <t>TỔNG CỘNG</t>
        </is>
      </c>
      <c r="B11" s="12">
        <f>SUM(B4:B10)</f>
        <v/>
      </c>
      <c r="C11" s="12">
        <f>SUM(C4:C10)</f>
        <v/>
      </c>
      <c r="D11" s="12">
        <f>SUM(D4:D10)</f>
        <v/>
      </c>
      <c r="E11" s="12">
        <f>SUM(E4:E10)</f>
        <v/>
      </c>
      <c r="F11" s="12">
        <f>SUM(F4:F10)</f>
        <v/>
      </c>
      <c r="G11" s="13">
        <f>IF(B11=0,0,C11/B11)</f>
        <v/>
      </c>
      <c r="H11" s="13">
        <f>IF(B11=0,0,(B11-F11)/B11)</f>
        <v/>
      </c>
    </row>
    <row r="13">
      <c r="A13" s="14" t="inlineStr">
        <is>
          <t>Ưu tiên Cao còn Fail</t>
        </is>
      </c>
      <c r="B13" s="15">
        <f>COUNTIFS('Kịch bản test'!$I$2:$I$56,"Cao",'Kịch bản test'!$K$2:$K$56,"Fail")</f>
        <v/>
      </c>
    </row>
    <row r="14">
      <c r="A14" s="14" t="inlineStr">
        <is>
          <t>Kết luận</t>
        </is>
      </c>
      <c r="B14" s="14">
        <f>IF(F11&gt;0,"Chưa chạy hết",IF(B13&gt;0,"KHÔNG ĐẠT – còn lỗi ưu tiên Cao",IF(D11&gt;0,"ĐẠT CÓ ĐIỀU KIỆN","ĐẠT")))</f>
        <v/>
      </c>
    </row>
  </sheetData>
  <mergeCells count="1"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0" customWidth="1" min="3" max="3"/>
    <col width="28" customWidth="1" min="4" max="4"/>
    <col width="26" customWidth="1" min="5" max="5"/>
    <col width="7" customWidth="1" min="6" max="6"/>
    <col width="28" customWidth="1" min="7" max="7"/>
    <col width="30" customWidth="1" min="8" max="8"/>
    <col width="18" customWidth="1" min="9" max="9"/>
    <col width="60" customWidth="1" min="10" max="10"/>
  </cols>
  <sheetData>
    <row r="1">
      <c r="A1" s="7" t="inlineStr">
        <is>
          <t>Role</t>
        </is>
      </c>
      <c r="B1" s="7" t="inlineStr">
        <is>
          <t>Email đăng nhập</t>
        </is>
      </c>
      <c r="C1" s="7" t="inlineStr">
        <is>
          <t>Họ tên</t>
        </is>
      </c>
      <c r="D1" s="7" t="inlineStr">
        <is>
          <t>Chức danh (Role)</t>
        </is>
      </c>
      <c r="E1" s="7" t="inlineStr">
        <is>
          <t>Chức vụ (Position)</t>
        </is>
      </c>
      <c r="F1" s="7" t="inlineStr">
        <is>
          <t>Level</t>
        </is>
      </c>
      <c r="G1" s="7" t="inlineStr">
        <is>
          <t>Đơn vị</t>
        </is>
      </c>
      <c r="H1" s="7" t="inlineStr">
        <is>
          <t>Đơn vị quản lý (managedUnitCodes)</t>
        </is>
      </c>
      <c r="I1" s="7" t="inlineStr">
        <is>
          <t>Quyền giao việc (vldc-directives:create)</t>
        </is>
      </c>
      <c r="J1" s="7" t="inlineStr">
        <is>
          <t>Được giao việc cho</t>
        </is>
      </c>
    </row>
    <row r="2">
      <c r="A2" s="16" t="inlineStr">
        <is>
          <t>lanhdao</t>
        </is>
      </c>
      <c r="B2" s="16" t="inlineStr">
        <is>
          <t>lanhdao@vldc.local</t>
        </is>
      </c>
      <c r="C2" s="16" t="inlineStr">
        <is>
          <t>Nguyễn Văn Minh</t>
        </is>
      </c>
      <c r="D2" s="17" t="inlineStr">
        <is>
          <t>Liên đoàn trưởng</t>
        </is>
      </c>
      <c r="E2" s="17" t="inlineStr">
        <is>
          <t>LANH_DAO – Lãnh đạo</t>
        </is>
      </c>
      <c r="F2" s="18" t="n">
        <v>1</v>
      </c>
      <c r="G2" s="17" t="inlineStr">
        <is>
          <t>BLD – Ban Lãnh đạo Liên đoàn</t>
        </is>
      </c>
      <c r="H2" s="17" t="inlineStr">
        <is>
          <t>BLD, KT, KHTC, TCHC, MD, DB, HK, TT</t>
        </is>
      </c>
      <c r="I2" s="18" t="inlineStr">
        <is>
          <t>Có</t>
        </is>
      </c>
      <c r="J2" s="17" t="inlineStr">
        <is>
          <t>truongdonvi, matdat, chunhiem, bien, hientruong, hangkhong, trungtam, kythuat, ketoantruong, kehoach, ketoan, tochuc</t>
        </is>
      </c>
    </row>
    <row r="3">
      <c r="A3" s="16" t="inlineStr">
        <is>
          <t>truongdonvi</t>
        </is>
      </c>
      <c r="B3" s="16" t="inlineStr">
        <is>
          <t>truongdonvi@vldc.local</t>
        </is>
      </c>
      <c r="C3" s="16" t="inlineStr">
        <is>
          <t>Trần Quốc Hùng</t>
        </is>
      </c>
      <c r="D3" s="17" t="inlineStr">
        <is>
          <t>Trưởng đơn vị</t>
        </is>
      </c>
      <c r="E3" s="17" t="inlineStr">
        <is>
          <t>TRUONG_DON_VI – Trưởng phòng / Đoàn trưởng</t>
        </is>
      </c>
      <c r="F3" s="18" t="n">
        <v>2</v>
      </c>
      <c r="G3" s="17" t="inlineStr">
        <is>
          <t>MD – Đoàn ĐVL Mặt đất</t>
        </is>
      </c>
      <c r="H3" s="17" t="inlineStr">
        <is>
          <t>MD</t>
        </is>
      </c>
      <c r="I3" s="18" t="inlineStr">
        <is>
          <t>Có</t>
        </is>
      </c>
      <c r="J3" s="17" t="inlineStr">
        <is>
          <t>chunhiem</t>
        </is>
      </c>
    </row>
    <row r="4">
      <c r="A4" s="16" t="inlineStr">
        <is>
          <t>matdat</t>
        </is>
      </c>
      <c r="B4" s="16" t="inlineStr">
        <is>
          <t>matdat@vldc.local</t>
        </is>
      </c>
      <c r="C4" s="16" t="inlineStr">
        <is>
          <t>Phạm Quang Hưng</t>
        </is>
      </c>
      <c r="D4" s="17" t="inlineStr">
        <is>
          <t>Điều hành Đoàn ĐVL Mặt đất</t>
        </is>
      </c>
      <c r="E4" s="17" t="inlineStr">
        <is>
          <t>TRUONG_DON_VI – Trưởng phòng / Đoàn trưởng</t>
        </is>
      </c>
      <c r="F4" s="18" t="n">
        <v>2</v>
      </c>
      <c r="G4" s="17" t="inlineStr">
        <is>
          <t>MD – Đoàn ĐVL Mặt đất</t>
        </is>
      </c>
      <c r="H4" s="17" t="inlineStr">
        <is>
          <t>MD</t>
        </is>
      </c>
      <c r="I4" s="18" t="inlineStr">
        <is>
          <t>Có</t>
        </is>
      </c>
      <c r="J4" s="17" t="inlineStr">
        <is>
          <t>chunhiem</t>
        </is>
      </c>
    </row>
    <row r="5">
      <c r="A5" s="16" t="inlineStr">
        <is>
          <t>chunhiem</t>
        </is>
      </c>
      <c r="B5" s="16" t="inlineStr">
        <is>
          <t>chunhiem@vldc.local</t>
        </is>
      </c>
      <c r="C5" s="16" t="inlineStr">
        <is>
          <t>Lê Hoàng Nam</t>
        </is>
      </c>
      <c r="D5" s="17" t="inlineStr">
        <is>
          <t>Chủ nhiệm dự án</t>
        </is>
      </c>
      <c r="E5" s="17" t="inlineStr">
        <is>
          <t>NHAN_VIEN – Nhân viên</t>
        </is>
      </c>
      <c r="F5" s="18" t="n">
        <v>3</v>
      </c>
      <c r="G5" s="17" t="inlineStr">
        <is>
          <t>MD – Đoàn ĐVL Mặt đất</t>
        </is>
      </c>
      <c r="H5" s="17" t="inlineStr">
        <is>
          <t>(không)</t>
        </is>
      </c>
      <c r="I5" s="18" t="inlineStr">
        <is>
          <t>Có</t>
        </is>
      </c>
      <c r="J5" s="17" t="inlineStr">
        <is>
          <t>(không ai)</t>
        </is>
      </c>
    </row>
    <row r="6">
      <c r="A6" s="16" t="inlineStr">
        <is>
          <t>bien</t>
        </is>
      </c>
      <c r="B6" s="16" t="inlineStr">
        <is>
          <t>bien@vldc.local</t>
        </is>
      </c>
      <c r="C6" s="16" t="inlineStr">
        <is>
          <t>Nguyễn Văn Hành</t>
        </is>
      </c>
      <c r="D6" s="17" t="inlineStr">
        <is>
          <t>Đoàn trưởng ĐVL Biển</t>
        </is>
      </c>
      <c r="E6" s="17" t="inlineStr">
        <is>
          <t>TRUONG_DON_VI – Trưởng phòng / Đoàn trưởng</t>
        </is>
      </c>
      <c r="F6" s="18" t="n">
        <v>2</v>
      </c>
      <c r="G6" s="17" t="inlineStr">
        <is>
          <t>DB – Đoàn ĐVL Biển</t>
        </is>
      </c>
      <c r="H6" s="17" t="inlineStr">
        <is>
          <t>DB</t>
        </is>
      </c>
      <c r="I6" s="18" t="inlineStr">
        <is>
          <t>Có</t>
        </is>
      </c>
      <c r="J6" s="17" t="inlineStr">
        <is>
          <t>hientruong</t>
        </is>
      </c>
    </row>
    <row r="7">
      <c r="A7" s="16" t="inlineStr">
        <is>
          <t>hientruong</t>
        </is>
      </c>
      <c r="B7" s="16" t="inlineStr">
        <is>
          <t>hientruong@vldc.local</t>
        </is>
      </c>
      <c r="C7" s="16" t="inlineStr">
        <is>
          <t>Nguyễn Đức Hải</t>
        </is>
      </c>
      <c r="D7" s="17" t="inlineStr">
        <is>
          <t>Cán bộ hiện trường</t>
        </is>
      </c>
      <c r="E7" s="17" t="inlineStr">
        <is>
          <t>NHAN_VIEN – Nhân viên</t>
        </is>
      </c>
      <c r="F7" s="18" t="n">
        <v>3</v>
      </c>
      <c r="G7" s="17" t="inlineStr">
        <is>
          <t>DB – Đoàn ĐVL Biển</t>
        </is>
      </c>
      <c r="H7" s="17" t="inlineStr">
        <is>
          <t>(không)</t>
        </is>
      </c>
      <c r="I7" s="18" t="inlineStr">
        <is>
          <t>Không</t>
        </is>
      </c>
      <c r="J7" s="17" t="inlineStr">
        <is>
          <t>(không ai)</t>
        </is>
      </c>
    </row>
    <row r="8">
      <c r="A8" s="16" t="inlineStr">
        <is>
          <t>hangkhong</t>
        </is>
      </c>
      <c r="B8" s="16" t="inlineStr">
        <is>
          <t>hangkhong@vldc.local</t>
        </is>
      </c>
      <c r="C8" s="16" t="inlineStr">
        <is>
          <t>Bùi Minh Thành</t>
        </is>
      </c>
      <c r="D8" s="17" t="inlineStr">
        <is>
          <t>Đoàn trưởng ĐVL Hàng không</t>
        </is>
      </c>
      <c r="E8" s="17" t="inlineStr">
        <is>
          <t>TRUONG_DON_VI – Trưởng phòng / Đoàn trưởng</t>
        </is>
      </c>
      <c r="F8" s="18" t="n">
        <v>2</v>
      </c>
      <c r="G8" s="17" t="inlineStr">
        <is>
          <t>HK – Đoàn ĐVL Hàng không</t>
        </is>
      </c>
      <c r="H8" s="17" t="inlineStr">
        <is>
          <t>HK</t>
        </is>
      </c>
      <c r="I8" s="18" t="inlineStr">
        <is>
          <t>Có</t>
        </is>
      </c>
      <c r="J8" s="17" t="inlineStr">
        <is>
          <t>(không ai)</t>
        </is>
      </c>
    </row>
    <row r="9">
      <c r="A9" s="16" t="inlineStr">
        <is>
          <t>trungtam</t>
        </is>
      </c>
      <c r="B9" s="16" t="inlineStr">
        <is>
          <t>trungtam@vldc.local</t>
        </is>
      </c>
      <c r="C9" s="16" t="inlineStr">
        <is>
          <t>Trần Anh Tuấn</t>
        </is>
      </c>
      <c r="D9" s="17" t="inlineStr">
        <is>
          <t>Giám đốc Trung tâm</t>
        </is>
      </c>
      <c r="E9" s="17" t="inlineStr">
        <is>
          <t>TRUONG_DON_VI – Trưởng phòng / Đoàn trưởng</t>
        </is>
      </c>
      <c r="F9" s="18" t="n">
        <v>2</v>
      </c>
      <c r="G9" s="17" t="inlineStr">
        <is>
          <t>TT – TT Công nghệ &amp; Kiểm định</t>
        </is>
      </c>
      <c r="H9" s="17" t="inlineStr">
        <is>
          <t>TT</t>
        </is>
      </c>
      <c r="I9" s="18" t="inlineStr">
        <is>
          <t>Có</t>
        </is>
      </c>
      <c r="J9" s="17" t="inlineStr">
        <is>
          <t>(không ai)</t>
        </is>
      </c>
    </row>
    <row r="10">
      <c r="A10" s="16" t="inlineStr">
        <is>
          <t>kythuat</t>
        </is>
      </c>
      <c r="B10" s="16" t="inlineStr">
        <is>
          <t>kythuat@vldc.local</t>
        </is>
      </c>
      <c r="C10" s="16" t="inlineStr">
        <is>
          <t>Phạm Thu Hà</t>
        </is>
      </c>
      <c r="D10" s="17" t="inlineStr">
        <is>
          <t>Chuyên viên kỹ thuật</t>
        </is>
      </c>
      <c r="E10" s="17" t="inlineStr">
        <is>
          <t>NHAN_VIEN – Nhân viên</t>
        </is>
      </c>
      <c r="F10" s="18" t="n">
        <v>3</v>
      </c>
      <c r="G10" s="17" t="inlineStr">
        <is>
          <t>KT – Phòng Kỹ thuật</t>
        </is>
      </c>
      <c r="H10" s="17" t="inlineStr">
        <is>
          <t>(không)</t>
        </is>
      </c>
      <c r="I10" s="18" t="inlineStr">
        <is>
          <t>Không</t>
        </is>
      </c>
      <c r="J10" s="17" t="inlineStr">
        <is>
          <t>(không ai)</t>
        </is>
      </c>
    </row>
    <row r="11">
      <c r="A11" s="16" t="inlineStr">
        <is>
          <t>ketoantruong</t>
        </is>
      </c>
      <c r="B11" s="16" t="inlineStr">
        <is>
          <t>ketoantruong@vldc.local</t>
        </is>
      </c>
      <c r="C11" s="16" t="inlineStr">
        <is>
          <t>Trần Minh Phương</t>
        </is>
      </c>
      <c r="D11" s="17" t="inlineStr">
        <is>
          <t>Kế toán trưởng</t>
        </is>
      </c>
      <c r="E11" s="17" t="inlineStr">
        <is>
          <t>TRUONG_DON_VI – Trưởng phòng / Đoàn trưởng</t>
        </is>
      </c>
      <c r="F11" s="18" t="n">
        <v>2</v>
      </c>
      <c r="G11" s="17" t="inlineStr">
        <is>
          <t>KHTC – Phòng Kế hoạch – Tài chính</t>
        </is>
      </c>
      <c r="H11" s="17" t="inlineStr">
        <is>
          <t>KHTC</t>
        </is>
      </c>
      <c r="I11" s="18" t="inlineStr">
        <is>
          <t>Có</t>
        </is>
      </c>
      <c r="J11" s="17" t="inlineStr">
        <is>
          <t>kehoach, ketoan</t>
        </is>
      </c>
    </row>
    <row r="12">
      <c r="A12" s="16" t="inlineStr">
        <is>
          <t>kehoach</t>
        </is>
      </c>
      <c r="B12" s="16" t="inlineStr">
        <is>
          <t>kehoach@vldc.local</t>
        </is>
      </c>
      <c r="C12" s="16" t="inlineStr">
        <is>
          <t>Vũ Thị Lan</t>
        </is>
      </c>
      <c r="D12" s="17" t="inlineStr">
        <is>
          <t>Chuyên viên KH-TC</t>
        </is>
      </c>
      <c r="E12" s="17" t="inlineStr">
        <is>
          <t>NHAN_VIEN – Nhân viên</t>
        </is>
      </c>
      <c r="F12" s="18" t="n">
        <v>3</v>
      </c>
      <c r="G12" s="17" t="inlineStr">
        <is>
          <t>KHTC – Phòng Kế hoạch – Tài chính</t>
        </is>
      </c>
      <c r="H12" s="17" t="inlineStr">
        <is>
          <t>(không)</t>
        </is>
      </c>
      <c r="I12" s="18" t="inlineStr">
        <is>
          <t>Không</t>
        </is>
      </c>
      <c r="J12" s="17" t="inlineStr">
        <is>
          <t>(không ai)</t>
        </is>
      </c>
    </row>
    <row r="13">
      <c r="A13" s="16" t="inlineStr">
        <is>
          <t>ketoan</t>
        </is>
      </c>
      <c r="B13" s="16" t="inlineStr">
        <is>
          <t>ketoan@vldc.local</t>
        </is>
      </c>
      <c r="C13" s="16" t="inlineStr">
        <is>
          <t>Nguyễn Thu Hương</t>
        </is>
      </c>
      <c r="D13" s="17" t="inlineStr">
        <is>
          <t>Kế toán viên</t>
        </is>
      </c>
      <c r="E13" s="17" t="inlineStr">
        <is>
          <t>NHAN_VIEN – Nhân viên</t>
        </is>
      </c>
      <c r="F13" s="18" t="n">
        <v>3</v>
      </c>
      <c r="G13" s="17" t="inlineStr">
        <is>
          <t>KHTC – Phòng Kế hoạch – Tài chính</t>
        </is>
      </c>
      <c r="H13" s="17" t="inlineStr">
        <is>
          <t>(không)</t>
        </is>
      </c>
      <c r="I13" s="18" t="inlineStr">
        <is>
          <t>Không</t>
        </is>
      </c>
      <c r="J13" s="17" t="inlineStr">
        <is>
          <t>(không ai)</t>
        </is>
      </c>
    </row>
    <row r="14">
      <c r="A14" s="16" t="inlineStr">
        <is>
          <t>tochuc</t>
        </is>
      </c>
      <c r="B14" s="16" t="inlineStr">
        <is>
          <t>tochuc@vldc.local</t>
        </is>
      </c>
      <c r="C14" s="16" t="inlineStr">
        <is>
          <t>Đỗ Minh Anh</t>
        </is>
      </c>
      <c r="D14" s="17" t="inlineStr">
        <is>
          <t>Chuyên viên TC-HC</t>
        </is>
      </c>
      <c r="E14" s="17" t="inlineStr">
        <is>
          <t>NHAN_VIEN – Nhân viên</t>
        </is>
      </c>
      <c r="F14" s="18" t="n">
        <v>3</v>
      </c>
      <c r="G14" s="17" t="inlineStr">
        <is>
          <t>TCHC – Phòng Tổ chức – Hành chính</t>
        </is>
      </c>
      <c r="H14" s="17" t="inlineStr">
        <is>
          <t>(không)</t>
        </is>
      </c>
      <c r="I14" s="18" t="inlineStr">
        <is>
          <t>Không</t>
        </is>
      </c>
      <c r="J14" s="17" t="inlineStr">
        <is>
          <t>(không ai)</t>
        </is>
      </c>
    </row>
    <row r="16" ht="42" customHeight="1">
      <c r="A16" s="14" t="inlineStr">
        <is>
          <t>Ghi chú</t>
        </is>
      </c>
      <c r="B16" s="19" t="inlineStr">
        <is>
          <t>Cột 'Được giao việc cho' = Ma trận mong đợi (sheet 'Ma trận giao việc'). Giao việc trên giao diện cần đồng thời có quyền vldc-directives:create; trungtam có quyền nhưng không có ai trong phạm vi nên không thấy nút '+ Giao việc'. admin@local là quản trị hệ thống, không thuộc đơn vị nào.</t>
        </is>
      </c>
    </row>
  </sheetData>
  <mergeCells count="1">
    <mergeCell ref="B16:J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3" customWidth="1" min="3" max="3"/>
    <col width="32" customWidth="1" min="4" max="4"/>
    <col width="28" customWidth="1" min="5" max="5"/>
    <col width="16" customWidth="1" min="6" max="6"/>
    <col width="52" customWidth="1" min="7" max="7"/>
    <col width="52" customWidth="1" min="8" max="8"/>
    <col width="10" customWidth="1" min="9" max="9"/>
    <col width="30" customWidth="1" min="10" max="10"/>
    <col width="12" customWidth="1" min="11" max="11"/>
    <col width="14" customWidth="1" min="12" max="12"/>
    <col width="12" customWidth="1" min="13" max="13"/>
    <col width="26" customWidth="1" min="14" max="14"/>
  </cols>
  <sheetData>
    <row r="1">
      <c r="A1" s="7" t="inlineStr">
        <is>
          <t>Mã TC</t>
        </is>
      </c>
      <c r="B1" s="7" t="inlineStr">
        <is>
          <t>Nhóm</t>
        </is>
      </c>
      <c r="C1" s="7" t="inlineStr">
        <is>
          <t>Yêu cầu (đặc tả)</t>
        </is>
      </c>
      <c r="D1" s="7" t="inlineStr">
        <is>
          <t>Tiêu đề</t>
        </is>
      </c>
      <c r="E1" s="7" t="inlineStr">
        <is>
          <t>Tiền điều kiện</t>
        </is>
      </c>
      <c r="F1" s="7" t="inlineStr">
        <is>
          <t>Tài khoản</t>
        </is>
      </c>
      <c r="G1" s="7" t="inlineStr">
        <is>
          <t>Các bước thực hiện</t>
        </is>
      </c>
      <c r="H1" s="7" t="inlineStr">
        <is>
          <t>Kết quả mong đợi</t>
        </is>
      </c>
      <c r="I1" s="7" t="inlineStr">
        <is>
          <t>Ưu tiên</t>
        </is>
      </c>
      <c r="J1" s="7" t="inlineStr">
        <is>
          <t>Kết quả thực tế</t>
        </is>
      </c>
      <c r="K1" s="7" t="inlineStr">
        <is>
          <t>Trạng thái</t>
        </is>
      </c>
      <c r="L1" s="7" t="inlineStr">
        <is>
          <t>Người test</t>
        </is>
      </c>
      <c r="M1" s="7" t="inlineStr">
        <is>
          <t>Ngày test</t>
        </is>
      </c>
      <c r="N1" s="7" t="inlineStr">
        <is>
          <t>Ghi chú</t>
        </is>
      </c>
    </row>
    <row r="2">
      <c r="A2" s="20" t="inlineStr">
        <is>
          <t>TC-DB-01</t>
        </is>
      </c>
      <c r="B2" s="17" t="inlineStr">
        <is>
          <t>Dữ liệu &amp; migration</t>
        </is>
      </c>
      <c r="C2" s="21" t="inlineStr">
        <is>
          <t>§5, NFR</t>
        </is>
      </c>
      <c r="D2" s="17" t="inlineStr">
        <is>
          <t>Flyway áp dụng migration V2</t>
        </is>
      </c>
      <c r="E2" s="17" t="inlineStr">
        <is>
          <t>Backend vừa khởi động với FLYWAY_ENABLED=true</t>
        </is>
      </c>
      <c r="F2" s="17" t="inlineStr">
        <is>
          <t>MySQL</t>
        </is>
      </c>
      <c r="G2" s="17" t="inlineStr">
        <is>
          <t>1. SELECT version, description, success FROM flyway_schema_history ORDER BY installed_rank;</t>
        </is>
      </c>
      <c r="H2" s="17" t="inlineStr">
        <is>
          <t>Có dòng version 2 'position org scope', success = 1. Log backend không có lỗi Flyway.</t>
        </is>
      </c>
      <c r="I2" s="21" t="inlineStr">
        <is>
          <t>Cao</t>
        </is>
      </c>
      <c r="J2" s="22" t="n"/>
      <c r="K2" s="23" t="inlineStr">
        <is>
          <t>Chưa test</t>
        </is>
      </c>
      <c r="L2" s="22" t="n"/>
      <c r="M2" s="24" t="n"/>
      <c r="N2" s="22" t="n"/>
    </row>
    <row r="3">
      <c r="A3" s="20" t="inlineStr">
        <is>
          <t>TC-DB-02</t>
        </is>
      </c>
      <c r="B3" s="17" t="inlineStr">
        <is>
          <t>Dữ liệu &amp; migration</t>
        </is>
      </c>
      <c r="C3" s="21" t="inlineStr">
        <is>
          <t>FR-01, §4</t>
        </is>
      </c>
      <c r="D3" s="17" t="inlineStr">
        <is>
          <t>Danh mục chức vụ mặc định</t>
        </is>
      </c>
      <c r="E3" s="17" t="inlineStr">
        <is>
          <t>TC-DB-01 Pass</t>
        </is>
      </c>
      <c r="F3" s="17" t="inlineStr">
        <is>
          <t>MySQL</t>
        </is>
      </c>
      <c r="G3" s="17" t="inlineStr">
        <is>
          <t>1. SELECT code, name, level, manages_unit FROM tbl_position ORDER BY level;</t>
        </is>
      </c>
      <c r="H3" s="17" t="inlineStr">
        <is>
          <t>Đúng 3 dòng: LANH_DAO (1, 1), TRUONG_DON_VI (2, 1), NHAN_VIEN (3, 0).</t>
        </is>
      </c>
      <c r="I3" s="21" t="inlineStr">
        <is>
          <t>Cao</t>
        </is>
      </c>
      <c r="J3" s="22" t="n"/>
      <c r="K3" s="23" t="inlineStr">
        <is>
          <t>Chưa test</t>
        </is>
      </c>
      <c r="L3" s="22" t="n"/>
      <c r="M3" s="24" t="n"/>
      <c r="N3" s="22" t="n"/>
    </row>
    <row r="4">
      <c r="A4" s="20" t="inlineStr">
        <is>
          <t>TC-DB-03</t>
        </is>
      </c>
      <c r="B4" s="17" t="inlineStr">
        <is>
          <t>Dữ liệu &amp; migration</t>
        </is>
      </c>
      <c r="C4" s="21" t="inlineStr">
        <is>
          <t>FR-05</t>
        </is>
      </c>
      <c r="D4" s="17" t="inlineStr">
        <is>
          <t>Cây đơn vị</t>
        </is>
      </c>
      <c r="E4" s="17" t="inlineStr">
        <is>
          <t>TC-DB-01 Pass</t>
        </is>
      </c>
      <c r="F4" s="17" t="inlineStr">
        <is>
          <t>MySQL</t>
        </is>
      </c>
      <c r="G4" s="17" t="inlineStr">
        <is>
          <t>1. SELECT d.code, p.code AS parent FROM tbl_department d LEFT JOIN tbl_department p ON p.id = d.parent_id;</t>
        </is>
      </c>
      <c r="H4" s="17" t="inlineStr">
        <is>
          <t>BLD có parent NULL; KT, KHTC, TCHC, MD, DB, HK, TT đều có parent = BLD.</t>
        </is>
      </c>
      <c r="I4" s="21" t="inlineStr">
        <is>
          <t>Cao</t>
        </is>
      </c>
      <c r="J4" s="22" t="n"/>
      <c r="K4" s="23" t="inlineStr">
        <is>
          <t>Chưa test</t>
        </is>
      </c>
      <c r="L4" s="22" t="n"/>
      <c r="M4" s="24" t="n"/>
      <c r="N4" s="22" t="n"/>
    </row>
    <row r="5">
      <c r="A5" s="20" t="inlineStr">
        <is>
          <t>TC-DB-04</t>
        </is>
      </c>
      <c r="B5" s="17" t="inlineStr">
        <is>
          <t>Dữ liệu &amp; migration</t>
        </is>
      </c>
      <c r="C5" s="21" t="inlineStr">
        <is>
          <t>§5</t>
        </is>
      </c>
      <c r="D5" s="17" t="inlineStr">
        <is>
          <t>Gán chức vụ, đơn vị cho tài khoản VLDC</t>
        </is>
      </c>
      <c r="E5" s="17" t="inlineStr">
        <is>
          <t>TC-DB-01 Pass</t>
        </is>
      </c>
      <c r="F5" s="17" t="inlineStr">
        <is>
          <t>MySQL</t>
        </is>
      </c>
      <c r="G5" s="17" t="inlineStr">
        <is>
          <t>1. Truy vấn tbl_user JOIN tbl_user_role, tbl_role, tbl_position, tbl_department cho 13 tài khoản @vldc.local.</t>
        </is>
      </c>
      <c r="H5" s="17" t="inlineStr">
        <is>
          <t>Chức vụ và đơn vị của từng role khớp sheet 'Tài khoản test'. admin@local có position_id, department_id = NULL.</t>
        </is>
      </c>
      <c r="I5" s="21" t="inlineStr">
        <is>
          <t>Cao</t>
        </is>
      </c>
      <c r="J5" s="22" t="n"/>
      <c r="K5" s="23" t="inlineStr">
        <is>
          <t>Chưa test</t>
        </is>
      </c>
      <c r="L5" s="22" t="n"/>
      <c r="M5" s="24" t="n"/>
      <c r="N5" s="22" t="n"/>
    </row>
    <row r="6">
      <c r="A6" s="20" t="inlineStr">
        <is>
          <t>TC-DB-05</t>
        </is>
      </c>
      <c r="B6" s="17" t="inlineStr">
        <is>
          <t>Dữ liệu &amp; migration</t>
        </is>
      </c>
      <c r="C6" s="21" t="inlineStr">
        <is>
          <t>BR-07</t>
        </is>
      </c>
      <c r="D6" s="17" t="inlineStr">
        <is>
          <t>Thu hồi roles:access khỏi role nghiệp vụ</t>
        </is>
      </c>
      <c r="E6" s="17" t="inlineStr">
        <is>
          <t>TC-DB-01 Pass</t>
        </is>
      </c>
      <c r="F6" s="17" t="inlineStr">
        <is>
          <t>MySQL</t>
        </is>
      </c>
      <c r="G6" s="17" t="inlineStr">
        <is>
          <t>1. Đếm tbl_role_permission có permission 'roles:access' với role khác admin.</t>
        </is>
      </c>
      <c r="H6" s="17" t="inlineStr">
        <is>
          <t>Kết quả = 0 (Lãnh đạo không mặc nhiên có quyền xem/quản trị Role).</t>
        </is>
      </c>
      <c r="I6" s="21" t="inlineStr">
        <is>
          <t>Cao</t>
        </is>
      </c>
      <c r="J6" s="22" t="n"/>
      <c r="K6" s="23" t="inlineStr">
        <is>
          <t>Chưa test</t>
        </is>
      </c>
      <c r="L6" s="22" t="n"/>
      <c r="M6" s="24" t="n"/>
      <c r="N6" s="22" t="n"/>
    </row>
    <row r="7">
      <c r="A7" s="20" t="inlineStr">
        <is>
          <t>TC-DB-06</t>
        </is>
      </c>
      <c r="B7" s="17" t="inlineStr">
        <is>
          <t>Dữ liệu &amp; migration</t>
        </is>
      </c>
      <c r="C7" s="21" t="inlineStr">
        <is>
          <t>NFR</t>
        </is>
      </c>
      <c r="D7" s="17" t="inlineStr">
        <is>
          <t>Migration chạy lại không lỗi</t>
        </is>
      </c>
      <c r="E7" s="17" t="inlineStr">
        <is>
          <t>Có bản sao DB hoặc DB test</t>
        </is>
      </c>
      <c r="F7" s="17" t="inlineStr">
        <is>
          <t>MySQL</t>
        </is>
      </c>
      <c r="G7" s="17" t="inlineStr">
        <is>
          <t>1. Chạy lại nội dung V2__position_org_scope.sql trên DB đã áp dụng.
2. Khởi tạo DB mới (docker compose với volume trống) rồi khởi động backend.</t>
        </is>
      </c>
      <c r="H7" s="17" t="inlineStr">
        <is>
          <t>Cả hai trường hợp không báo lỗi; dữ liệu chức vụ/đơn vị không bị nhân đôi hoặc ghi đè giá trị đã gán.</t>
        </is>
      </c>
      <c r="I7" s="21" t="inlineStr">
        <is>
          <t>Trung bình</t>
        </is>
      </c>
      <c r="J7" s="22" t="n"/>
      <c r="K7" s="23" t="inlineStr">
        <is>
          <t>Chưa test</t>
        </is>
      </c>
      <c r="L7" s="22" t="n"/>
      <c r="M7" s="24" t="n"/>
      <c r="N7" s="22" t="n"/>
    </row>
    <row r="8">
      <c r="A8" s="20" t="inlineStr">
        <is>
          <t>TC-AUTH-01</t>
        </is>
      </c>
      <c r="B8" s="17" t="inlineStr">
        <is>
          <t>Đăng nhập, token, /me</t>
        </is>
      </c>
      <c r="C8" s="21" t="inlineStr">
        <is>
          <t>§6.1, NFR</t>
        </is>
      </c>
      <c r="D8" s="17" t="inlineStr">
        <is>
          <t>JWT không chứa danh sách permission</t>
        </is>
      </c>
      <c r="E8" s="17" t="inlineStr">
        <is>
          <t>–</t>
        </is>
      </c>
      <c r="F8" s="17" t="inlineStr">
        <is>
          <t>lanhdao</t>
        </is>
      </c>
      <c r="G8" s="17" t="inlineStr">
        <is>
          <t>1. Đăng nhập lấy token.
2. Giải mã phần payload JWT (jwt.io hoặc base64).</t>
        </is>
      </c>
      <c r="H8" s="17" t="inlineStr">
        <is>
          <t>Claim 'scope' chỉ có ROLE_LANHDAO (không có mã quyền dạng 'vldc-...:access'); không có claim đơn vị/chức vụ.</t>
        </is>
      </c>
      <c r="I8" s="21" t="inlineStr">
        <is>
          <t>Cao</t>
        </is>
      </c>
      <c r="J8" s="22" t="n"/>
      <c r="K8" s="23" t="inlineStr">
        <is>
          <t>Chưa test</t>
        </is>
      </c>
      <c r="L8" s="22" t="n"/>
      <c r="M8" s="24" t="n"/>
      <c r="N8" s="22" t="n"/>
    </row>
    <row r="9">
      <c r="A9" s="20" t="inlineStr">
        <is>
          <t>TC-AUTH-02</t>
        </is>
      </c>
      <c r="B9" s="17" t="inlineStr">
        <is>
          <t>Đăng nhập, token, /me</t>
        </is>
      </c>
      <c r="C9" s="21" t="inlineStr">
        <is>
          <t>§6.1</t>
        </is>
      </c>
      <c r="D9" s="17" t="inlineStr">
        <is>
          <t>/me trả về chức vụ, đơn vị, phạm vi – Lãnh đạo</t>
        </is>
      </c>
      <c r="E9" s="17" t="inlineStr">
        <is>
          <t>–</t>
        </is>
      </c>
      <c r="F9" s="17" t="inlineStr">
        <is>
          <t>lanhdao</t>
        </is>
      </c>
      <c r="G9" s="17" t="inlineStr">
        <is>
          <t>1. GET {BASE}/api/authenticate/me</t>
        </is>
      </c>
      <c r="H9" s="17" t="inlineStr">
        <is>
          <t>positionCode=LANH_DAO, positionLevel=1, orgUnitCode=BLD, managedUnitCodes gồm đủ 8 đơn vị (BLD, KT, KHTC, TCHC, MD, DB, HK, TT).</t>
        </is>
      </c>
      <c r="I9" s="21" t="inlineStr">
        <is>
          <t>Cao</t>
        </is>
      </c>
      <c r="J9" s="22" t="n"/>
      <c r="K9" s="23" t="inlineStr">
        <is>
          <t>Chưa test</t>
        </is>
      </c>
      <c r="L9" s="22" t="n"/>
      <c r="M9" s="24" t="n"/>
      <c r="N9" s="22" t="n"/>
    </row>
    <row r="10">
      <c r="A10" s="20" t="inlineStr">
        <is>
          <t>TC-AUTH-03</t>
        </is>
      </c>
      <c r="B10" s="17" t="inlineStr">
        <is>
          <t>Đăng nhập, token, /me</t>
        </is>
      </c>
      <c r="C10" s="21" t="inlineStr">
        <is>
          <t>§6.1</t>
        </is>
      </c>
      <c r="D10" s="17" t="inlineStr">
        <is>
          <t>/me – Trưởng đơn vị</t>
        </is>
      </c>
      <c r="E10" s="17" t="inlineStr">
        <is>
          <t>–</t>
        </is>
      </c>
      <c r="F10" s="17" t="inlineStr">
        <is>
          <t>truongdonvi</t>
        </is>
      </c>
      <c r="G10" s="17" t="inlineStr">
        <is>
          <t>1. GET {BASE}/api/authenticate/me</t>
        </is>
      </c>
      <c r="H10" s="17" t="inlineStr">
        <is>
          <t>positionCode=TRUONG_DON_VI, orgUnitCode=MD, managedUnitCodes = [MD].</t>
        </is>
      </c>
      <c r="I10" s="21" t="inlineStr">
        <is>
          <t>Cao</t>
        </is>
      </c>
      <c r="J10" s="22" t="n"/>
      <c r="K10" s="23" t="inlineStr">
        <is>
          <t>Chưa test</t>
        </is>
      </c>
      <c r="L10" s="22" t="n"/>
      <c r="M10" s="24" t="n"/>
      <c r="N10" s="22" t="n"/>
    </row>
    <row r="11">
      <c r="A11" s="20" t="inlineStr">
        <is>
          <t>TC-AUTH-04</t>
        </is>
      </c>
      <c r="B11" s="17" t="inlineStr">
        <is>
          <t>Đăng nhập, token, /me</t>
        </is>
      </c>
      <c r="C11" s="21" t="inlineStr">
        <is>
          <t>§6.1</t>
        </is>
      </c>
      <c r="D11" s="17" t="inlineStr">
        <is>
          <t>/me – Nhân viên</t>
        </is>
      </c>
      <c r="E11" s="17" t="inlineStr">
        <is>
          <t>–</t>
        </is>
      </c>
      <c r="F11" s="17" t="inlineStr">
        <is>
          <t>kythuat</t>
        </is>
      </c>
      <c r="G11" s="17" t="inlineStr">
        <is>
          <t>1. GET {BASE}/api/authenticate/me</t>
        </is>
      </c>
      <c r="H11" s="17" t="inlineStr">
        <is>
          <t>positionCode=NHAN_VIEN, orgUnitCode=KT, managedUnitCodes = [] (rỗng).</t>
        </is>
      </c>
      <c r="I11" s="21" t="inlineStr">
        <is>
          <t>Cao</t>
        </is>
      </c>
      <c r="J11" s="22" t="n"/>
      <c r="K11" s="23" t="inlineStr">
        <is>
          <t>Chưa test</t>
        </is>
      </c>
      <c r="L11" s="22" t="n"/>
      <c r="M11" s="24" t="n"/>
      <c r="N11" s="22" t="n"/>
    </row>
    <row r="12">
      <c r="A12" s="20" t="inlineStr">
        <is>
          <t>TC-AUTH-05</t>
        </is>
      </c>
      <c r="B12" s="17" t="inlineStr">
        <is>
          <t>Đăng nhập, token, /me</t>
        </is>
      </c>
      <c r="C12" s="21" t="inlineStr">
        <is>
          <t>NT-07, NFR</t>
        </is>
      </c>
      <c r="D12" s="17" t="inlineStr">
        <is>
          <t>Thu hồi quyền có hiệu lực ngay, không chờ token hết hạn</t>
        </is>
      </c>
      <c r="E12" s="17" t="inlineStr">
        <is>
          <t>Đang giữ token hợp lệ của truongdonvi. Sau test: cấp lại quyền.</t>
        </is>
      </c>
      <c r="F12" s="17" t="inlineStr">
        <is>
          <t>admin + truongdonvi</t>
        </is>
      </c>
      <c r="G12" s="17" t="inlineStr">
        <is>
          <t>1. Với token truongdonvi gọi GET {BASE}/api/org/assignees → ghi nhận 200.
2. Admin bỏ quyền 'Giao việc – Tạo mới' (vldc-directives:create) khỏi role truongdonvi.
3. Dùng LẠI token cũ gọi GET {BASE}/api/org/assignees.</t>
        </is>
      </c>
      <c r="H12" s="17" t="inlineStr">
        <is>
          <t>Bước 3 trả HTTP 403 dù token cũ chưa hết hạn (quyền được nạp lại từ DB mỗi request).</t>
        </is>
      </c>
      <c r="I12" s="21" t="inlineStr">
        <is>
          <t>Cao</t>
        </is>
      </c>
      <c r="J12" s="22" t="n"/>
      <c r="K12" s="23" t="inlineStr">
        <is>
          <t>Chưa test</t>
        </is>
      </c>
      <c r="L12" s="22" t="n"/>
      <c r="M12" s="24" t="n"/>
      <c r="N12" s="22" t="n"/>
    </row>
    <row r="13">
      <c r="A13" s="20" t="inlineStr">
        <is>
          <t>TC-AUTH-06</t>
        </is>
      </c>
      <c r="B13" s="17" t="inlineStr">
        <is>
          <t>Đăng nhập, token, /me</t>
        </is>
      </c>
      <c r="C13" s="21" t="inlineStr">
        <is>
          <t>NT-07</t>
        </is>
      </c>
      <c r="D13" s="17" t="inlineStr">
        <is>
          <t>Tài khoản bị vô hiệu hoá không dùng được token cũ</t>
        </is>
      </c>
      <c r="E13" s="17" t="inlineStr">
        <is>
          <t>Đang giữ token của kehoach. Sau test: kích hoạt lại.</t>
        </is>
      </c>
      <c r="F13" s="17" t="inlineStr">
        <is>
          <t>admin + kehoach</t>
        </is>
      </c>
      <c r="G13" s="17" t="inlineStr">
        <is>
          <t>1. Admin tắt 'Hoạt động' (active=false) của kehoach.
2. Dùng token cũ của kehoach gọi GET {BASE}/api/authenticate/me.</t>
        </is>
      </c>
      <c r="H13" s="17" t="inlineStr">
        <is>
          <t>HTTP 401 Unauthorized.</t>
        </is>
      </c>
      <c r="I13" s="21" t="inlineStr">
        <is>
          <t>Trung bình</t>
        </is>
      </c>
      <c r="J13" s="22" t="n"/>
      <c r="K13" s="23" t="inlineStr">
        <is>
          <t>Chưa test</t>
        </is>
      </c>
      <c r="L13" s="22" t="n"/>
      <c r="M13" s="24" t="n"/>
      <c r="N13" s="22" t="n"/>
    </row>
    <row r="14">
      <c r="A14" s="20" t="inlineStr">
        <is>
          <t>TC-API-01</t>
        </is>
      </c>
      <c r="B14" s="17" t="inlineStr">
        <is>
          <t>Bảo vệ API &amp; phạm vi</t>
        </is>
      </c>
      <c r="C14" s="21" t="inlineStr">
        <is>
          <t>§3.3</t>
        </is>
      </c>
      <c r="D14" s="17" t="inlineStr">
        <is>
          <t>API mặc định yêu cầu đăng nhập</t>
        </is>
      </c>
      <c r="E14" s="17" t="inlineStr">
        <is>
          <t>–</t>
        </is>
      </c>
      <c r="F14" s="17" t="inlineStr">
        <is>
          <t>(không đăng nhập)</t>
        </is>
      </c>
      <c r="G14" s="17" t="inlineStr">
        <is>
          <t>1. Gọi không kèm token: GET {BASE}/api/org/directory, GET {BASE}/api/org/positions, GET {BASE}/api/audit-logs.</t>
        </is>
      </c>
      <c r="H14" s="17" t="inlineStr">
        <is>
          <t>Tất cả trả HTTP 401.</t>
        </is>
      </c>
      <c r="I14" s="21" t="inlineStr">
        <is>
          <t>Cao</t>
        </is>
      </c>
      <c r="J14" s="22" t="n"/>
      <c r="K14" s="23" t="inlineStr">
        <is>
          <t>Chưa test</t>
        </is>
      </c>
      <c r="L14" s="22" t="n"/>
      <c r="M14" s="24" t="n"/>
      <c r="N14" s="22" t="n"/>
    </row>
    <row r="15">
      <c r="A15" s="20" t="inlineStr">
        <is>
          <t>TC-API-02</t>
        </is>
      </c>
      <c r="B15" s="17" t="inlineStr">
        <is>
          <t>Bảo vệ API &amp; phạm vi</t>
        </is>
      </c>
      <c r="C15" s="21" t="inlineStr">
        <is>
          <t>§3.3, NFR</t>
        </is>
      </c>
      <c r="D15" s="17" t="inlineStr">
        <is>
          <t>Danh bạ tổ chức không lộ dữ liệu nhạy cảm</t>
        </is>
      </c>
      <c r="E15" s="17" t="inlineStr">
        <is>
          <t>–</t>
        </is>
      </c>
      <c r="F15" s="17" t="inlineStr">
        <is>
          <t>hientruong</t>
        </is>
      </c>
      <c r="G15" s="17" t="inlineStr">
        <is>
          <t>1. GET {BASE}/api/org/directory</t>
        </is>
      </c>
      <c r="H15" s="17" t="inlineStr">
        <is>
          <t>HTTP 200; có positions, units (kèm parentCode), people. Mỗi người chỉ có id, fullName, roleCodes, roleNames, chức vụ, đơn vị – KHÔNG có email, số điện thoại, lương, mật khẩu. Không có tài khoản admin.</t>
        </is>
      </c>
      <c r="I15" s="21" t="inlineStr">
        <is>
          <t>Cao</t>
        </is>
      </c>
      <c r="J15" s="22" t="n"/>
      <c r="K15" s="23" t="inlineStr">
        <is>
          <t>Chưa test</t>
        </is>
      </c>
      <c r="L15" s="22" t="n"/>
      <c r="M15" s="24" t="n"/>
      <c r="N15" s="22" t="n"/>
    </row>
    <row r="16">
      <c r="A16" s="20" t="inlineStr">
        <is>
          <t>TC-API-03</t>
        </is>
      </c>
      <c r="B16" s="17" t="inlineStr">
        <is>
          <t>Bảo vệ API &amp; phạm vi</t>
        </is>
      </c>
      <c r="C16" s="21" t="inlineStr">
        <is>
          <t>BR-04, §6.2</t>
        </is>
      </c>
      <c r="D16" s="17" t="inlineStr">
        <is>
          <t>Không có permission giao việc → 403</t>
        </is>
      </c>
      <c r="E16" s="17" t="inlineStr">
        <is>
          <t>–</t>
        </is>
      </c>
      <c r="F16" s="17" t="inlineStr">
        <is>
          <t>kythuat</t>
        </is>
      </c>
      <c r="G16" s="17" t="inlineStr">
        <is>
          <t>1. GET {BASE}/api/org/assignees</t>
        </is>
      </c>
      <c r="H16" s="17" t="inlineStr">
        <is>
          <t>HTTP 403 Forbidden.</t>
        </is>
      </c>
      <c r="I16" s="21" t="inlineStr">
        <is>
          <t>Cao</t>
        </is>
      </c>
      <c r="J16" s="22" t="n"/>
      <c r="K16" s="23" t="inlineStr">
        <is>
          <t>Chưa test</t>
        </is>
      </c>
      <c r="L16" s="22" t="n"/>
      <c r="M16" s="24" t="n"/>
      <c r="N16" s="22" t="n"/>
    </row>
    <row r="17">
      <c r="A17" s="20" t="inlineStr">
        <is>
          <t>TC-API-04</t>
        </is>
      </c>
      <c r="B17" s="17" t="inlineStr">
        <is>
          <t>Bảo vệ API &amp; phạm vi</t>
        </is>
      </c>
      <c r="C17" s="21" t="inlineStr">
        <is>
          <t>FR-06</t>
        </is>
      </c>
      <c r="D17" s="17" t="inlineStr">
        <is>
          <t>Danh sách người được giao – Lãnh đạo</t>
        </is>
      </c>
      <c r="E17" s="17" t="inlineStr">
        <is>
          <t>–</t>
        </is>
      </c>
      <c r="F17" s="17" t="inlineStr">
        <is>
          <t>lanhdao</t>
        </is>
      </c>
      <c r="G17" s="17" t="inlineStr">
        <is>
          <t>1. GET {BASE}/api/org/assignees</t>
        </is>
      </c>
      <c r="H17" s="17" t="inlineStr">
        <is>
          <t>HTTP 200, 12 người (tất cả tài khoản VLDC trừ lanhdao).</t>
        </is>
      </c>
      <c r="I17" s="21" t="inlineStr">
        <is>
          <t>Cao</t>
        </is>
      </c>
      <c r="J17" s="22" t="n"/>
      <c r="K17" s="23" t="inlineStr">
        <is>
          <t>Chưa test</t>
        </is>
      </c>
      <c r="L17" s="22" t="n"/>
      <c r="M17" s="24" t="n"/>
      <c r="N17" s="22" t="n"/>
    </row>
    <row r="18">
      <c r="A18" s="20" t="inlineStr">
        <is>
          <t>TC-API-05</t>
        </is>
      </c>
      <c r="B18" s="17" t="inlineStr">
        <is>
          <t>Bảo vệ API &amp; phạm vi</t>
        </is>
      </c>
      <c r="C18" s="21" t="inlineStr">
        <is>
          <t>BR-05, §9</t>
        </is>
      </c>
      <c r="D18" s="17" t="inlineStr">
        <is>
          <t>Danh sách người được giao – Trưởng đơn vị</t>
        </is>
      </c>
      <c r="E18" s="17" t="inlineStr">
        <is>
          <t>–</t>
        </is>
      </c>
      <c r="F18" s="17" t="inlineStr">
        <is>
          <t>truongdonvi</t>
        </is>
      </c>
      <c r="G18" s="17" t="inlineStr">
        <is>
          <t>1. GET {BASE}/api/org/assignees</t>
        </is>
      </c>
      <c r="H18" s="17" t="inlineStr">
        <is>
          <t>HTTP 200, đúng 1 người: chunhiem. Không có matdat (cùng cấp), hientruong (đơn vị khác), lanhdao (cấp trên).</t>
        </is>
      </c>
      <c r="I18" s="21" t="inlineStr">
        <is>
          <t>Cao</t>
        </is>
      </c>
      <c r="J18" s="22" t="n"/>
      <c r="K18" s="23" t="inlineStr">
        <is>
          <t>Chưa test</t>
        </is>
      </c>
      <c r="L18" s="22" t="n"/>
      <c r="M18" s="24" t="n"/>
      <c r="N18" s="22" t="n"/>
    </row>
    <row r="19">
      <c r="A19" s="20" t="inlineStr">
        <is>
          <t>TC-API-06</t>
        </is>
      </c>
      <c r="B19" s="17" t="inlineStr">
        <is>
          <t>Bảo vệ API &amp; phạm vi</t>
        </is>
      </c>
      <c r="C19" s="21" t="inlineStr">
        <is>
          <t>BR-05</t>
        </is>
      </c>
      <c r="D19" s="17" t="inlineStr">
        <is>
          <t>Danh sách người được giao – Kế toán trưởng</t>
        </is>
      </c>
      <c r="E19" s="17" t="inlineStr">
        <is>
          <t>–</t>
        </is>
      </c>
      <c r="F19" s="17" t="inlineStr">
        <is>
          <t>ketoantruong</t>
        </is>
      </c>
      <c r="G19" s="17" t="inlineStr">
        <is>
          <t>1. GET {BASE}/api/org/assignees</t>
        </is>
      </c>
      <c r="H19" s="17" t="inlineStr">
        <is>
          <t>HTTP 200: kehoach, ketoan.</t>
        </is>
      </c>
      <c r="I19" s="21" t="inlineStr">
        <is>
          <t>Cao</t>
        </is>
      </c>
      <c r="J19" s="22" t="n"/>
      <c r="K19" s="23" t="inlineStr">
        <is>
          <t>Chưa test</t>
        </is>
      </c>
      <c r="L19" s="22" t="n"/>
      <c r="M19" s="24" t="n"/>
      <c r="N19" s="22" t="n"/>
    </row>
    <row r="20">
      <c r="A20" s="20" t="inlineStr">
        <is>
          <t>TC-API-07</t>
        </is>
      </c>
      <c r="B20" s="17" t="inlineStr">
        <is>
          <t>Bảo vệ API &amp; phạm vi</t>
        </is>
      </c>
      <c r="C20" s="21" t="inlineStr">
        <is>
          <t>BR-05</t>
        </is>
      </c>
      <c r="D20" s="17" t="inlineStr">
        <is>
          <t>Có quyền nhưng không có ai trong phạm vi</t>
        </is>
      </c>
      <c r="E20" s="17" t="inlineStr">
        <is>
          <t>–</t>
        </is>
      </c>
      <c r="F20" s="17" t="inlineStr">
        <is>
          <t>trungtam</t>
        </is>
      </c>
      <c r="G20" s="17" t="inlineStr">
        <is>
          <t>1. GET {BASE}/api/org/assignees</t>
        </is>
      </c>
      <c r="H20" s="17" t="inlineStr">
        <is>
          <t>HTTP 200, danh sách rỗng.</t>
        </is>
      </c>
      <c r="I20" s="21" t="inlineStr">
        <is>
          <t>Trung bình</t>
        </is>
      </c>
      <c r="J20" s="22" t="n"/>
      <c r="K20" s="23" t="inlineStr">
        <is>
          <t>Chưa test</t>
        </is>
      </c>
      <c r="L20" s="22" t="n"/>
      <c r="M20" s="24" t="n"/>
      <c r="N20" s="22" t="n"/>
    </row>
    <row r="21">
      <c r="A21" s="20" t="inlineStr">
        <is>
          <t>TC-API-08</t>
        </is>
      </c>
      <c r="B21" s="17" t="inlineStr">
        <is>
          <t>Bảo vệ API &amp; phạm vi</t>
        </is>
      </c>
      <c r="C21" s="21" t="inlineStr">
        <is>
          <t>NT-05, §9</t>
        </is>
      </c>
      <c r="D21" s="17" t="inlineStr">
        <is>
          <t>Kiểm tra giao việc trong phạm vi</t>
        </is>
      </c>
      <c r="E21" s="17" t="inlineStr">
        <is>
          <t>Lấy id của chunhiem từ /api/org/directory</t>
        </is>
      </c>
      <c r="F21" s="17" t="inlineStr">
        <is>
          <t>truongdonvi</t>
        </is>
      </c>
      <c r="G21" s="17" t="inlineStr">
        <is>
          <t>1. GET {BASE}/api/org/assignees/{id chunhiem}/check</t>
        </is>
      </c>
      <c r="H21" s="17" t="inlineStr">
        <is>
          <t>HTTP 200.</t>
        </is>
      </c>
      <c r="I21" s="21" t="inlineStr">
        <is>
          <t>Cao</t>
        </is>
      </c>
      <c r="J21" s="22" t="n"/>
      <c r="K21" s="23" t="inlineStr">
        <is>
          <t>Chưa test</t>
        </is>
      </c>
      <c r="L21" s="22" t="n"/>
      <c r="M21" s="24" t="n"/>
      <c r="N21" s="22" t="n"/>
    </row>
    <row r="22">
      <c r="A22" s="20" t="inlineStr">
        <is>
          <t>TC-API-09</t>
        </is>
      </c>
      <c r="B22" s="17" t="inlineStr">
        <is>
          <t>Bảo vệ API &amp; phạm vi</t>
        </is>
      </c>
      <c r="C22" s="21" t="inlineStr">
        <is>
          <t>NT-05, BR-05</t>
        </is>
      </c>
      <c r="D22" s="17" t="inlineStr">
        <is>
          <t>Kiểm tra giao việc ngoài đơn vị bị từ chối</t>
        </is>
      </c>
      <c r="E22" s="17" t="inlineStr">
        <is>
          <t>Lấy id của hientruong</t>
        </is>
      </c>
      <c r="F22" s="17" t="inlineStr">
        <is>
          <t>truongdonvi</t>
        </is>
      </c>
      <c r="G22" s="17" t="inlineStr">
        <is>
          <t>1. GET {BASE}/api/org/assignees/{id hientruong}/check</t>
        </is>
      </c>
      <c r="H22" s="17" t="inlineStr">
        <is>
          <t>HTTP 403, thông báo 'Người nhận không thuộc phạm vi quản lý'.</t>
        </is>
      </c>
      <c r="I22" s="21" t="inlineStr">
        <is>
          <t>Cao</t>
        </is>
      </c>
      <c r="J22" s="22" t="n"/>
      <c r="K22" s="23" t="inlineStr">
        <is>
          <t>Chưa test</t>
        </is>
      </c>
      <c r="L22" s="22" t="n"/>
      <c r="M22" s="24" t="n"/>
      <c r="N22" s="22" t="n"/>
    </row>
    <row r="23">
      <c r="A23" s="20" t="inlineStr">
        <is>
          <t>TC-API-10</t>
        </is>
      </c>
      <c r="B23" s="17" t="inlineStr">
        <is>
          <t>Bảo vệ API &amp; phạm vi</t>
        </is>
      </c>
      <c r="C23" s="21" t="inlineStr">
        <is>
          <t>§3.2</t>
        </is>
      </c>
      <c r="D23" s="17" t="inlineStr">
        <is>
          <t>Không giao được cho người cùng cấp hoặc cấp trên</t>
        </is>
      </c>
      <c r="E23" s="17" t="inlineStr">
        <is>
          <t>Lấy id của matdat và lanhdao</t>
        </is>
      </c>
      <c r="F23" s="17" t="inlineStr">
        <is>
          <t>truongdonvi</t>
        </is>
      </c>
      <c r="G23" s="17" t="inlineStr">
        <is>
          <t>1. GET .../assignees/{id matdat}/check
2. GET .../assignees/{id lanhdao}/check
3. GET .../assignees/{id truongdonvi}/check (chính mình)</t>
        </is>
      </c>
      <c r="H23" s="17" t="inlineStr">
        <is>
          <t>Cả 3 đều HTTP 403.</t>
        </is>
      </c>
      <c r="I23" s="21" t="inlineStr">
        <is>
          <t>Cao</t>
        </is>
      </c>
      <c r="J23" s="22" t="n"/>
      <c r="K23" s="23" t="inlineStr">
        <is>
          <t>Chưa test</t>
        </is>
      </c>
      <c r="L23" s="22" t="n"/>
      <c r="M23" s="24" t="n"/>
      <c r="N23" s="22" t="n"/>
    </row>
    <row r="24">
      <c r="A24" s="20" t="inlineStr">
        <is>
          <t>TC-API-11</t>
        </is>
      </c>
      <c r="B24" s="17" t="inlineStr">
        <is>
          <t>Bảo vệ API &amp; phạm vi</t>
        </is>
      </c>
      <c r="C24" s="21" t="inlineStr">
        <is>
          <t>§3.3</t>
        </is>
      </c>
      <c r="D24" s="17" t="inlineStr">
        <is>
          <t>Không tin id do client gửi: id không tồn tại</t>
        </is>
      </c>
      <c r="E24" s="17" t="inlineStr">
        <is>
          <t>–</t>
        </is>
      </c>
      <c r="F24" s="17" t="inlineStr">
        <is>
          <t>lanhdao</t>
        </is>
      </c>
      <c r="G24" s="17" t="inlineStr">
        <is>
          <t>1. GET {BASE}/api/org/assignees/999999/check</t>
        </is>
      </c>
      <c r="H24" s="17" t="inlineStr">
        <is>
          <t>HTTP 400 'User not found' (không lỗi 500, không trả 200).</t>
        </is>
      </c>
      <c r="I24" s="21" t="inlineStr">
        <is>
          <t>Trung bình</t>
        </is>
      </c>
      <c r="J24" s="22" t="n"/>
      <c r="K24" s="23" t="inlineStr">
        <is>
          <t>Chưa test</t>
        </is>
      </c>
      <c r="L24" s="22" t="n"/>
      <c r="M24" s="24" t="n"/>
      <c r="N24" s="22" t="n"/>
    </row>
    <row r="25">
      <c r="A25" s="20" t="inlineStr">
        <is>
          <t>TC-API-12</t>
        </is>
      </c>
      <c r="B25" s="17" t="inlineStr">
        <is>
          <t>Bảo vệ API &amp; phạm vi</t>
        </is>
      </c>
      <c r="C25" s="21" t="inlineStr">
        <is>
          <t>BR-07</t>
        </is>
      </c>
      <c r="D25" s="17" t="inlineStr">
        <is>
          <t>Lãnh đạo không mặc nhiên quản trị Role/Permission</t>
        </is>
      </c>
      <c r="E25" s="17" t="inlineStr">
        <is>
          <t>–</t>
        </is>
      </c>
      <c r="F25" s="17" t="inlineStr">
        <is>
          <t>lanhdao</t>
        </is>
      </c>
      <c r="G25" s="17" t="inlineStr">
        <is>
          <t>1. GET {BASE}/api/roles
2. GET {BASE}/api/permissions
3. POST {BASE}/api/roles (body bất kỳ)</t>
        </is>
      </c>
      <c r="H25" s="17" t="inlineStr">
        <is>
          <t>Cả 3 đều HTTP 403.</t>
        </is>
      </c>
      <c r="I25" s="21" t="inlineStr">
        <is>
          <t>Cao</t>
        </is>
      </c>
      <c r="J25" s="22" t="n"/>
      <c r="K25" s="23" t="inlineStr">
        <is>
          <t>Chưa test</t>
        </is>
      </c>
      <c r="L25" s="22" t="n"/>
      <c r="M25" s="24" t="n"/>
      <c r="N25" s="22" t="n"/>
    </row>
    <row r="26">
      <c r="A26" s="20" t="inlineStr">
        <is>
          <t>TC-API-13</t>
        </is>
      </c>
      <c r="B26" s="17" t="inlineStr">
        <is>
          <t>Bảo vệ API &amp; phạm vi</t>
        </is>
      </c>
      <c r="C26" s="21" t="inlineStr">
        <is>
          <t>BR-07</t>
        </is>
      </c>
      <c r="D26" s="17" t="inlineStr">
        <is>
          <t>Quản trị viên vẫn quản trị được Role</t>
        </is>
      </c>
      <c r="E26" s="17" t="inlineStr">
        <is>
          <t>–</t>
        </is>
      </c>
      <c r="F26" s="17" t="inlineStr">
        <is>
          <t>admin</t>
        </is>
      </c>
      <c r="G26" s="17" t="inlineStr">
        <is>
          <t>1. GET {BASE}/api/roles
2. GET {BASE}/api/permissions</t>
        </is>
      </c>
      <c r="H26" s="17" t="inlineStr">
        <is>
          <t>HTTP 200, trả đầy đủ danh sách.</t>
        </is>
      </c>
      <c r="I26" s="21" t="inlineStr">
        <is>
          <t>Cao</t>
        </is>
      </c>
      <c r="J26" s="22" t="n"/>
      <c r="K26" s="23" t="inlineStr">
        <is>
          <t>Chưa test</t>
        </is>
      </c>
      <c r="L26" s="22" t="n"/>
      <c r="M26" s="24" t="n"/>
      <c r="N26" s="22" t="n"/>
    </row>
    <row r="27">
      <c r="A27" s="20" t="inlineStr">
        <is>
          <t>TC-ORG-01</t>
        </is>
      </c>
      <c r="B27" s="17" t="inlineStr">
        <is>
          <t>Quản lý user, chức vụ, đơn vị</t>
        </is>
      </c>
      <c r="C27" s="21" t="inlineStr">
        <is>
          <t>FR-04, BR-08</t>
        </is>
      </c>
      <c r="D27" s="17" t="inlineStr">
        <is>
          <t>Admin đổi chức vụ và đơn vị của người dùng</t>
        </is>
      </c>
      <c r="E27" s="17" t="inlineStr">
        <is>
          <t>Lấy id của kythuat và id đơn vị MD (GET /api/departments). Sau test: trả lại NHAN_VIEN / KT.</t>
        </is>
      </c>
      <c r="F27" s="17" t="inlineStr">
        <is>
          <t>admin</t>
        </is>
      </c>
      <c r="G27" s="17" t="inlineStr">
        <is>
          <t>1. PUT {BASE}/api/users/{id kythuat} body {"positionCode":"NHAN_VIEN","orgUnitId":&lt;id MD&gt;}
2. Đăng nhập truongdonvi, GET /api/org/assignees.</t>
        </is>
      </c>
      <c r="H27" s="17" t="inlineStr">
        <is>
          <t>Bước 1: 200, response có orgUnitCode=MD. Bước 2: danh sách có thêm kythuat (đã thuộc MD).</t>
        </is>
      </c>
      <c r="I27" s="21" t="inlineStr">
        <is>
          <t>Cao</t>
        </is>
      </c>
      <c r="J27" s="22" t="n"/>
      <c r="K27" s="23" t="inlineStr">
        <is>
          <t>Chưa test</t>
        </is>
      </c>
      <c r="L27" s="22" t="n"/>
      <c r="M27" s="24" t="n"/>
      <c r="N27" s="22" t="n"/>
    </row>
    <row r="28">
      <c r="A28" s="20" t="inlineStr">
        <is>
          <t>TC-ORG-02</t>
        </is>
      </c>
      <c r="B28" s="17" t="inlineStr">
        <is>
          <t>Quản lý user, chức vụ, đơn vị</t>
        </is>
      </c>
      <c r="C28" s="21" t="inlineStr">
        <is>
          <t>§3.3</t>
        </is>
      </c>
      <c r="D28" s="17" t="inlineStr">
        <is>
          <t>Mã chức vụ không hợp lệ bị từ chối</t>
        </is>
      </c>
      <c r="E28" s="17" t="inlineStr">
        <is>
          <t>–</t>
        </is>
      </c>
      <c r="F28" s="17" t="inlineStr">
        <is>
          <t>admin</t>
        </is>
      </c>
      <c r="G28" s="17" t="inlineStr">
        <is>
          <t>1. PUT {BASE}/api/users/{id} body {"positionCode":"GIAM_DOC_XYZ"}</t>
        </is>
      </c>
      <c r="H28" s="17" t="inlineStr">
        <is>
          <t>HTTP 400 'Position not found: GIAM_DOC_XYZ'; dữ liệu người dùng không đổi.</t>
        </is>
      </c>
      <c r="I28" s="21" t="inlineStr">
        <is>
          <t>Trung bình</t>
        </is>
      </c>
      <c r="J28" s="22" t="n"/>
      <c r="K28" s="23" t="inlineStr">
        <is>
          <t>Chưa test</t>
        </is>
      </c>
      <c r="L28" s="22" t="n"/>
      <c r="M28" s="24" t="n"/>
      <c r="N28" s="22" t="n"/>
    </row>
    <row r="29">
      <c r="A29" s="20" t="inlineStr">
        <is>
          <t>TC-ORG-03</t>
        </is>
      </c>
      <c r="B29" s="17" t="inlineStr">
        <is>
          <t>Quản lý user, chức vụ, đơn vị</t>
        </is>
      </c>
      <c r="C29" s="21" t="inlineStr">
        <is>
          <t>FR-04</t>
        </is>
      </c>
      <c r="D29" s="17" t="inlineStr">
        <is>
          <t>Bỏ đơn vị của người dùng</t>
        </is>
      </c>
      <c r="E29" s="17" t="inlineStr">
        <is>
          <t>Sau test: gán lại đơn vị cũ.</t>
        </is>
      </c>
      <c r="F29" s="17" t="inlineStr">
        <is>
          <t>admin</t>
        </is>
      </c>
      <c r="G29" s="17" t="inlineStr">
        <is>
          <t>1. PUT {BASE}/api/users/{id hientruong} body {"orgUnitId":0}
2. Đăng nhập bien, GET /api/org/assignees.</t>
        </is>
      </c>
      <c r="H29" s="17" t="inlineStr">
        <is>
          <t>Bước 1: 200, orgUnitCode = null. Bước 2: hientruong không còn trong danh sách.</t>
        </is>
      </c>
      <c r="I29" s="21" t="inlineStr">
        <is>
          <t>Trung bình</t>
        </is>
      </c>
      <c r="J29" s="22" t="n"/>
      <c r="K29" s="23" t="inlineStr">
        <is>
          <t>Chưa test</t>
        </is>
      </c>
      <c r="L29" s="22" t="n"/>
      <c r="M29" s="24" t="n"/>
      <c r="N29" s="22" t="n"/>
    </row>
    <row r="30">
      <c r="A30" s="20" t="inlineStr">
        <is>
          <t>TC-ORG-04</t>
        </is>
      </c>
      <c r="B30" s="17" t="inlineStr">
        <is>
          <t>Quản lý user, chức vụ, đơn vị</t>
        </is>
      </c>
      <c r="C30" s="21" t="inlineStr">
        <is>
          <t>FR-05</t>
        </is>
      </c>
      <c r="D30" s="17" t="inlineStr">
        <is>
          <t>Tạo đơn vị con và giao việc xuống đơn vị con</t>
        </is>
      </c>
      <c r="E30" s="17" t="inlineStr">
        <is>
          <t>Sau test: chuyển người dùng về đơn vị cũ, xoá đơn vị con.</t>
        </is>
      </c>
      <c r="F30" s="17" t="inlineStr">
        <is>
          <t>admin + truongdonvi</t>
        </is>
      </c>
      <c r="G30" s="17" t="inlineStr">
        <is>
          <t>1. POST {BASE}/api/departments body {"code":"md-to1","name":"Tổ 1 – ĐVL Mặt đất","parentId":&lt;id MD&gt;}
2. Chuyển chunhiem sang đơn vị md-to1.
3. Đăng nhập truongdonvi, GET /api/org/assignees.</t>
        </is>
      </c>
      <c r="H30" s="17" t="inlineStr">
        <is>
          <t>Bước 3: vẫn thấy chunhiem (đơn vị con của MD thuộc phạm vi quản lý).</t>
        </is>
      </c>
      <c r="I30" s="21" t="inlineStr">
        <is>
          <t>Cao</t>
        </is>
      </c>
      <c r="J30" s="22" t="n"/>
      <c r="K30" s="23" t="inlineStr">
        <is>
          <t>Chưa test</t>
        </is>
      </c>
      <c r="L30" s="22" t="n"/>
      <c r="M30" s="24" t="n"/>
      <c r="N30" s="22" t="n"/>
    </row>
    <row r="31">
      <c r="A31" s="20" t="inlineStr">
        <is>
          <t>TC-ORG-05</t>
        </is>
      </c>
      <c r="B31" s="17" t="inlineStr">
        <is>
          <t>Quản lý user, chức vụ, đơn vị</t>
        </is>
      </c>
      <c r="C31" s="21" t="inlineStr">
        <is>
          <t>FR-05</t>
        </is>
      </c>
      <c r="D31" s="17" t="inlineStr">
        <is>
          <t>Chặn vòng lặp trong cây đơn vị</t>
        </is>
      </c>
      <c r="E31" s="17" t="inlineStr">
        <is>
          <t>–</t>
        </is>
      </c>
      <c r="F31" s="17" t="inlineStr">
        <is>
          <t>admin</t>
        </is>
      </c>
      <c r="G31" s="17" t="inlineStr">
        <is>
          <t>1. PUT {BASE}/api/departments/{id BLD} body {"code":"BLD","name":"Ban Lãnh đạo Liên đoàn","parentId":&lt;id MD&gt;}</t>
        </is>
      </c>
      <c r="H31" s="17" t="inlineStr">
        <is>
          <t>HTTP 400 'A department cannot be placed under itself'.</t>
        </is>
      </c>
      <c r="I31" s="21" t="inlineStr">
        <is>
          <t>Trung bình</t>
        </is>
      </c>
      <c r="J31" s="22" t="n"/>
      <c r="K31" s="23" t="inlineStr">
        <is>
          <t>Chưa test</t>
        </is>
      </c>
      <c r="L31" s="22" t="n"/>
      <c r="M31" s="24" t="n"/>
      <c r="N31" s="22" t="n"/>
    </row>
    <row r="32">
      <c r="A32" s="20" t="inlineStr">
        <is>
          <t>TC-ORG-06</t>
        </is>
      </c>
      <c r="B32" s="17" t="inlineStr">
        <is>
          <t>Quản lý user, chức vụ, đơn vị</t>
        </is>
      </c>
      <c r="C32" s="21" t="inlineStr">
        <is>
          <t>FR-05</t>
        </is>
      </c>
      <c r="D32" s="17" t="inlineStr">
        <is>
          <t>Không xoá được đơn vị còn người hoặc còn đơn vị con</t>
        </is>
      </c>
      <c r="E32" s="17" t="inlineStr">
        <is>
          <t>–</t>
        </is>
      </c>
      <c r="F32" s="17" t="inlineStr">
        <is>
          <t>admin</t>
        </is>
      </c>
      <c r="G32" s="17" t="inlineStr">
        <is>
          <t>1. DELETE {BASE}/api/departments/{id MD} (còn người dùng).
2. DELETE {BASE}/api/departments/{id BLD} (còn đơn vị con).</t>
        </is>
      </c>
      <c r="H32" s="17" t="inlineStr">
        <is>
          <t>Cả 2 đều HTTP 400, đơn vị không bị xoá.</t>
        </is>
      </c>
      <c r="I32" s="21" t="inlineStr">
        <is>
          <t>Trung bình</t>
        </is>
      </c>
      <c r="J32" s="22" t="n"/>
      <c r="K32" s="23" t="inlineStr">
        <is>
          <t>Chưa test</t>
        </is>
      </c>
      <c r="L32" s="22" t="n"/>
      <c r="M32" s="24" t="n"/>
      <c r="N32" s="22" t="n"/>
    </row>
    <row r="33">
      <c r="A33" s="20" t="inlineStr">
        <is>
          <t>TC-ORG-07</t>
        </is>
      </c>
      <c r="B33" s="17" t="inlineStr">
        <is>
          <t>Quản lý user, chức vụ, đơn vị</t>
        </is>
      </c>
      <c r="C33" s="21" t="inlineStr">
        <is>
          <t>§4</t>
        </is>
      </c>
      <c r="D33" s="17" t="inlineStr">
        <is>
          <t>Thêm chức vụ mới không cần sửa code</t>
        </is>
      </c>
      <c r="E33" s="17" t="inlineStr">
        <is>
          <t>Sau test: xoá chức vụ PHO_DOAN và trả lại chức vụ cũ.</t>
        </is>
      </c>
      <c r="F33" s="17" t="inlineStr">
        <is>
          <t>admin + MySQL</t>
        </is>
      </c>
      <c r="G33" s="17" t="inlineStr">
        <is>
          <t>1. INSERT INTO tbl_position (code,name,level,manages_unit) VALUES ('PHO_DOAN','Phó Đoàn trưởng',2,1);
2. PUT /api/users/{id chunhiem} body {"positionCode":"PHO_DOAN"}
3. Đăng nhập chunhiem, GET /api/authenticate/me.</t>
        </is>
      </c>
      <c r="H33" s="17" t="inlineStr">
        <is>
          <t>Không khởi động lại backend vẫn nhận chức vụ mới: managedUnitCodes = [MD]; đăng nhập truongdonvi thì chunhiem không còn trong danh sách được giao (cùng level 2).</t>
        </is>
      </c>
      <c r="I33" s="21" t="inlineStr">
        <is>
          <t>Trung bình</t>
        </is>
      </c>
      <c r="J33" s="22" t="n"/>
      <c r="K33" s="23" t="inlineStr">
        <is>
          <t>Chưa test</t>
        </is>
      </c>
      <c r="L33" s="22" t="n"/>
      <c r="M33" s="24" t="n"/>
      <c r="N33" s="22" t="n"/>
    </row>
    <row r="34">
      <c r="A34" s="20" t="inlineStr">
        <is>
          <t>TC-UI-01</t>
        </is>
      </c>
      <c r="B34" s="17" t="inlineStr">
        <is>
          <t>Giao việc trên giao diện VLDC</t>
        </is>
      </c>
      <c r="C34" s="21" t="inlineStr">
        <is>
          <t>FR-06</t>
        </is>
      </c>
      <c r="D34" s="17" t="inlineStr">
        <is>
          <t>Lãnh đạo giao việc cho mọi đơn vị</t>
        </is>
      </c>
      <c r="E34" s="17" t="inlineStr">
        <is>
          <t>–</t>
        </is>
      </c>
      <c r="F34" s="17" t="inlineStr">
        <is>
          <t>lanhdao</t>
        </is>
      </c>
      <c r="G34" s="17" t="inlineStr">
        <is>
          <t>1. Đăng nhập, vào Giao việc (/vldc/directives).
2. Bấm '+ Giao việc', mở danh sách 'Người chủ trì'.</t>
        </is>
      </c>
      <c r="H34" s="17" t="inlineStr">
        <is>
          <t>Có nút '+ Giao việc'; danh sách gồm 12 người (mọi tài khoản trừ Liên đoàn trưởng). Giao thành công cho bien.</t>
        </is>
      </c>
      <c r="I34" s="21" t="inlineStr">
        <is>
          <t>Cao</t>
        </is>
      </c>
      <c r="J34" s="22" t="n"/>
      <c r="K34" s="23" t="inlineStr">
        <is>
          <t>Chưa test</t>
        </is>
      </c>
      <c r="L34" s="22" t="n"/>
      <c r="M34" s="24" t="n"/>
      <c r="N34" s="22" t="n"/>
    </row>
    <row r="35">
      <c r="A35" s="20" t="inlineStr">
        <is>
          <t>TC-UI-02</t>
        </is>
      </c>
      <c r="B35" s="17" t="inlineStr">
        <is>
          <t>Giao việc trên giao diện VLDC</t>
        </is>
      </c>
      <c r="C35" s="21" t="inlineStr">
        <is>
          <t>BR-05</t>
        </is>
      </c>
      <c r="D35" s="17" t="inlineStr">
        <is>
          <t>Trưởng đơn vị chỉ giao trong đơn vị mình</t>
        </is>
      </c>
      <c r="E35" s="17" t="inlineStr">
        <is>
          <t>–</t>
        </is>
      </c>
      <c r="F35" s="17" t="inlineStr">
        <is>
          <t>truongdonvi</t>
        </is>
      </c>
      <c r="G35" s="17" t="inlineStr">
        <is>
          <t>1. Vào Giao việc, bấm '+ Giao việc'.
2. Mở danh sách 'Người chủ trì'.</t>
        </is>
      </c>
      <c r="H35" s="17" t="inlineStr">
        <is>
          <t>Có nút '+ Giao việc' (trước đây chỉ Lãnh đạo có); danh sách chỉ có 'Chủ nhiệm dự án'.</t>
        </is>
      </c>
      <c r="I35" s="21" t="inlineStr">
        <is>
          <t>Cao</t>
        </is>
      </c>
      <c r="J35" s="22" t="n"/>
      <c r="K35" s="23" t="inlineStr">
        <is>
          <t>Chưa test</t>
        </is>
      </c>
      <c r="L35" s="22" t="n"/>
      <c r="M35" s="24" t="n"/>
      <c r="N35" s="22" t="n"/>
    </row>
    <row r="36">
      <c r="A36" s="20" t="inlineStr">
        <is>
          <t>TC-UI-03</t>
        </is>
      </c>
      <c r="B36" s="17" t="inlineStr">
        <is>
          <t>Giao việc trên giao diện VLDC</t>
        </is>
      </c>
      <c r="C36" s="21" t="inlineStr">
        <is>
          <t>BR-04</t>
        </is>
      </c>
      <c r="D36" s="17" t="inlineStr">
        <is>
          <t>Không có permission → không có nút giao việc</t>
        </is>
      </c>
      <c r="E36" s="17" t="inlineStr">
        <is>
          <t>–</t>
        </is>
      </c>
      <c r="F36" s="17" t="inlineStr">
        <is>
          <t>kythuat</t>
        </is>
      </c>
      <c r="G36" s="17" t="inlineStr">
        <is>
          <t>1. Vào Giao việc.</t>
        </is>
      </c>
      <c r="H36" s="17" t="inlineStr">
        <is>
          <t>Không có nút '+ Giao việc'; việc của mình vẫn hiển thị ở cột 'Tôi cần xử lý'.</t>
        </is>
      </c>
      <c r="I36" s="21" t="inlineStr">
        <is>
          <t>Cao</t>
        </is>
      </c>
      <c r="J36" s="22" t="n"/>
      <c r="K36" s="23" t="inlineStr">
        <is>
          <t>Chưa test</t>
        </is>
      </c>
      <c r="L36" s="22" t="n"/>
      <c r="M36" s="24" t="n"/>
      <c r="N36" s="22" t="n"/>
    </row>
    <row r="37">
      <c r="A37" s="20" t="inlineStr">
        <is>
          <t>TC-UI-04</t>
        </is>
      </c>
      <c r="B37" s="17" t="inlineStr">
        <is>
          <t>Giao việc trên giao diện VLDC</t>
        </is>
      </c>
      <c r="C37" s="21" t="inlineStr">
        <is>
          <t>BR-05</t>
        </is>
      </c>
      <c r="D37" s="17" t="inlineStr">
        <is>
          <t>Có permission nhưng không có ai trong phạm vi</t>
        </is>
      </c>
      <c r="E37" s="17" t="inlineStr">
        <is>
          <t>–</t>
        </is>
      </c>
      <c r="F37" s="17" t="inlineStr">
        <is>
          <t>trungtam</t>
        </is>
      </c>
      <c r="G37" s="17" t="inlineStr">
        <is>
          <t>1. Vào Giao việc.</t>
        </is>
      </c>
      <c r="H37" s="17" t="inlineStr">
        <is>
          <t>Không có nút '+ Giao việc'. Gọi window.wfCreateDirective() trong console → hộp thoại 'Không có người nào thuộc phạm vi quản lý của bạn để giao việc'.</t>
        </is>
      </c>
      <c r="I37" s="21" t="inlineStr">
        <is>
          <t>Trung bình</t>
        </is>
      </c>
      <c r="J37" s="22" t="n"/>
      <c r="K37" s="23" t="inlineStr">
        <is>
          <t>Chưa test</t>
        </is>
      </c>
      <c r="L37" s="22" t="n"/>
      <c r="M37" s="24" t="n"/>
      <c r="N37" s="22" t="n"/>
    </row>
    <row r="38">
      <c r="A38" s="20" t="inlineStr">
        <is>
          <t>TC-UI-05</t>
        </is>
      </c>
      <c r="B38" s="17" t="inlineStr">
        <is>
          <t>Giao việc trên giao diện VLDC</t>
        </is>
      </c>
      <c r="C38" s="21" t="inlineStr">
        <is>
          <t>FR-06, §9</t>
        </is>
      </c>
      <c r="D38" s="17" t="inlineStr">
        <is>
          <t>Giao việc con xuống cấp dưới trong đơn vị</t>
        </is>
      </c>
      <c r="E38" s="17" t="inlineStr">
        <is>
          <t>Lãnh đạo đã giao 1 việc cho bien (TC-UI-01).</t>
        </is>
      </c>
      <c r="F38" s="17" t="inlineStr">
        <is>
          <t>bien</t>
        </is>
      </c>
      <c r="G38" s="17" t="inlineStr">
        <is>
          <t>1. Mở việc được giao, bấm 'Nhận việc'.
2. Bấm 'Giao việc con', mở danh sách 'Giao cho'.
3. Giao cho Cán bộ hiện trường, hạn ≤ hạn việc cha.</t>
        </is>
      </c>
      <c r="H38" s="17" t="inlineStr">
        <is>
          <t>Danh sách 'Giao cho' chỉ có 'Cán bộ hiện trường'. Việc con được tạo, hientruong thấy trong 'Tôi cần xử lý'.</t>
        </is>
      </c>
      <c r="I38" s="21" t="inlineStr">
        <is>
          <t>Cao</t>
        </is>
      </c>
      <c r="J38" s="22" t="n"/>
      <c r="K38" s="23" t="inlineStr">
        <is>
          <t>Chưa test</t>
        </is>
      </c>
      <c r="L38" s="22" t="n"/>
      <c r="M38" s="24" t="n"/>
      <c r="N38" s="22" t="n"/>
    </row>
    <row r="39">
      <c r="A39" s="20" t="inlineStr">
        <is>
          <t>TC-UI-06</t>
        </is>
      </c>
      <c r="B39" s="17" t="inlineStr">
        <is>
          <t>Giao việc trên giao diện VLDC</t>
        </is>
      </c>
      <c r="C39" s="21" t="inlineStr">
        <is>
          <t>BR-05</t>
        </is>
      </c>
      <c r="D39" s="17" t="inlineStr">
        <is>
          <t>Nhân viên không có thao tác giao việc con</t>
        </is>
      </c>
      <c r="E39" s="17" t="inlineStr">
        <is>
          <t>chunhiem đã nhận 1 việc (từ truongdonvi hoặc lanhdao).</t>
        </is>
      </c>
      <c r="F39" s="17" t="inlineStr">
        <is>
          <t>chunhiem</t>
        </is>
      </c>
      <c r="G39" s="17" t="inlineStr">
        <is>
          <t>1. Mở việc đang thực hiện của mình.</t>
        </is>
      </c>
      <c r="H39" s="17" t="inlineStr">
        <is>
          <t>Có 'Cập nhật tiến độ', 'Báo cáo hoàn thành'; KHÔNG có 'Giao việc con' (chunhiem là Nhân viên, không quản lý ai).</t>
        </is>
      </c>
      <c r="I39" s="21" t="inlineStr">
        <is>
          <t>Cao</t>
        </is>
      </c>
      <c r="J39" s="22" t="n"/>
      <c r="K39" s="23" t="inlineStr">
        <is>
          <t>Chưa test</t>
        </is>
      </c>
      <c r="L39" s="22" t="n"/>
      <c r="M39" s="24" t="n"/>
      <c r="N39" s="22" t="n"/>
    </row>
    <row r="40">
      <c r="A40" s="20" t="inlineStr">
        <is>
          <t>TC-UI-07</t>
        </is>
      </c>
      <c r="B40" s="17" t="inlineStr">
        <is>
          <t>Giao việc trên giao diện VLDC</t>
        </is>
      </c>
      <c r="C40" s="21" t="inlineStr">
        <is>
          <t>§6.3</t>
        </is>
      </c>
      <c r="D40" s="17" t="inlineStr">
        <is>
          <t>Danh sách phối hợp không bị giới hạn theo phạm vi</t>
        </is>
      </c>
      <c r="E40" s="17" t="inlineStr">
        <is>
          <t>–</t>
        </is>
      </c>
      <c r="F40" s="17" t="inlineStr">
        <is>
          <t>truongdonvi</t>
        </is>
      </c>
      <c r="G40" s="17" t="inlineStr">
        <is>
          <t>1. Mở form '+ Giao việc', xem mục 'Phối hợp'.</t>
        </is>
      </c>
      <c r="H40" s="17" t="inlineStr">
        <is>
          <t>Hiện tất cả tài khoản trừ chính mình (phối hợp không phải giao việc).</t>
        </is>
      </c>
      <c r="I40" s="21" t="inlineStr">
        <is>
          <t>Thấp</t>
        </is>
      </c>
      <c r="J40" s="22" t="n"/>
      <c r="K40" s="23" t="inlineStr">
        <is>
          <t>Chưa test</t>
        </is>
      </c>
      <c r="L40" s="22" t="n"/>
      <c r="M40" s="24" t="n"/>
      <c r="N40" s="22" t="n"/>
    </row>
    <row r="41">
      <c r="A41" s="20" t="inlineStr">
        <is>
          <t>TC-UI-08</t>
        </is>
      </c>
      <c r="B41" s="17" t="inlineStr">
        <is>
          <t>Giao việc trên giao diện VLDC</t>
        </is>
      </c>
      <c r="C41" s="21" t="inlineStr">
        <is>
          <t>§3.3</t>
        </is>
      </c>
      <c r="D41" s="17" t="inlineStr">
        <is>
          <t>Chặn giao việc ngoài phạm vi khi sửa form</t>
        </is>
      </c>
      <c r="E41" s="17" t="inlineStr">
        <is>
          <t>–</t>
        </is>
      </c>
      <c r="F41" s="17" t="inlineStr">
        <is>
          <t>truongdonvi</t>
        </is>
      </c>
      <c r="G41" s="17" t="inlineStr">
        <is>
          <t>1. Mở form '+ Giao việc'.
2. Dùng DevTools đổi value của ô 'Người chủ trì' thành 'hientruong'.
3. Bấm 'Giao việc'.</t>
        </is>
      </c>
      <c r="H41" s="17" t="inlineStr">
        <is>
          <t>Báo lỗi 'Người chủ trì không thuộc phạm vi quản lý của bạn'; việc không được tạo.</t>
        </is>
      </c>
      <c r="I41" s="21" t="inlineStr">
        <is>
          <t>Trung bình</t>
        </is>
      </c>
      <c r="J41" s="22" t="n"/>
      <c r="K41" s="23" t="inlineStr">
        <is>
          <t>Chưa test</t>
        </is>
      </c>
      <c r="L41" s="22" t="n"/>
      <c r="M41" s="24" t="n"/>
      <c r="N41" s="22" t="n"/>
    </row>
    <row r="42">
      <c r="A42" s="20" t="inlineStr">
        <is>
          <t>TC-UI-09</t>
        </is>
      </c>
      <c r="B42" s="17" t="inlineStr">
        <is>
          <t>Giao việc trên giao diện VLDC</t>
        </is>
      </c>
      <c r="C42" s="21" t="inlineStr">
        <is>
          <t>§6</t>
        </is>
      </c>
      <c r="D42" s="17" t="inlineStr">
        <is>
          <t>Admin 'xem dưới vai trò' theo đúng phạm vi vai trò</t>
        </is>
      </c>
      <c r="E42" s="17" t="inlineStr">
        <is>
          <t>–</t>
        </is>
      </c>
      <c r="F42" s="17" t="inlineStr">
        <is>
          <t>admin</t>
        </is>
      </c>
      <c r="G42" s="17" t="inlineStr">
        <is>
          <t>1. Đăng nhập admin, chọn vai trò 'Trưởng đơn vị' trên thanh trên cùng.
2. Vào Giao việc, mở '+ Giao việc'.</t>
        </is>
      </c>
      <c r="H42" s="17" t="inlineStr">
        <is>
          <t>Danh sách người chủ trì chỉ có 'Chủ nhiệm dự án' (giống khi đăng nhập truongdonvi).</t>
        </is>
      </c>
      <c r="I42" s="21" t="inlineStr">
        <is>
          <t>Thấp</t>
        </is>
      </c>
      <c r="J42" s="22" t="n"/>
      <c r="K42" s="23" t="inlineStr">
        <is>
          <t>Chưa test</t>
        </is>
      </c>
      <c r="L42" s="22" t="n"/>
      <c r="M42" s="24" t="n"/>
      <c r="N42" s="22" t="n"/>
    </row>
    <row r="43">
      <c r="A43" s="20" t="inlineStr">
        <is>
          <t>TC-UI-10</t>
        </is>
      </c>
      <c r="B43" s="17" t="inlineStr">
        <is>
          <t>Giao việc trên giao diện VLDC</t>
        </is>
      </c>
      <c r="C43" s="21" t="inlineStr">
        <is>
          <t>Hồi quy</t>
        </is>
      </c>
      <c r="D43" s="17" t="inlineStr">
        <is>
          <t>Luồng thanh toán liên phòng không bị ảnh hưởng</t>
        </is>
      </c>
      <c r="E43" s="17" t="inlineStr">
        <is>
          <t>–</t>
        </is>
      </c>
      <c r="F43" s="17" t="inlineStr">
        <is>
          <t>chunhiem → kehoach → ketoan → ketoantruong → lanhdao → ketoan</t>
        </is>
      </c>
      <c r="G43" s="17" t="inlineStr">
        <is>
          <t>1. chunhiem lập đề nghị thanh toán.
2. Lần lượt từng tài khoản 'Chuyển bước'.</t>
        </is>
      </c>
      <c r="H43" s="17" t="inlineStr">
        <is>
          <t>Hồ sơ đi đủ 6 bước tới 'Đã chi'; mỗi bước chỉ chủ bước hiện tại thấy nút xử lý.</t>
        </is>
      </c>
      <c r="I43" s="21" t="inlineStr">
        <is>
          <t>Trung bình</t>
        </is>
      </c>
      <c r="J43" s="22" t="n"/>
      <c r="K43" s="23" t="inlineStr">
        <is>
          <t>Chưa test</t>
        </is>
      </c>
      <c r="L43" s="22" t="n"/>
      <c r="M43" s="24" t="n"/>
      <c r="N43" s="22" t="n"/>
    </row>
    <row r="44">
      <c r="A44" s="20" t="inlineStr">
        <is>
          <t>TC-KPI-01</t>
        </is>
      </c>
      <c r="B44" s="17" t="inlineStr">
        <is>
          <t>Phạm vi xem, KPI, thống kê</t>
        </is>
      </c>
      <c r="C44" s="21" t="inlineStr">
        <is>
          <t>FR-08, §8</t>
        </is>
      </c>
      <c r="D44" s="17" t="inlineStr">
        <is>
          <t>Lãnh đạo xem toàn bộ công việc</t>
        </is>
      </c>
      <c r="E44" s="17" t="inlineStr">
        <is>
          <t>Có việc giữa các đơn vị khác nhau.</t>
        </is>
      </c>
      <c r="F44" s="17" t="inlineStr">
        <is>
          <t>lanhdao</t>
        </is>
      </c>
      <c r="G44" s="17" t="inlineStr">
        <is>
          <t>1. Vào Giao việc, xem 'Cây chỉ đạo – việc được giao'.</t>
        </is>
      </c>
      <c r="H44" s="17" t="inlineStr">
        <is>
          <t>Thấy mọi việc của mọi đơn vị.</t>
        </is>
      </c>
      <c r="I44" s="21" t="inlineStr">
        <is>
          <t>Cao</t>
        </is>
      </c>
      <c r="J44" s="22" t="n"/>
      <c r="K44" s="23" t="inlineStr">
        <is>
          <t>Chưa test</t>
        </is>
      </c>
      <c r="L44" s="22" t="n"/>
      <c r="M44" s="24" t="n"/>
      <c r="N44" s="22" t="n"/>
    </row>
    <row r="45">
      <c r="A45" s="20" t="inlineStr">
        <is>
          <t>TC-KPI-02</t>
        </is>
      </c>
      <c r="B45" s="17" t="inlineStr">
        <is>
          <t>Phạm vi xem, KPI, thống kê</t>
        </is>
      </c>
      <c r="C45" s="21" t="inlineStr">
        <is>
          <t>§8</t>
        </is>
      </c>
      <c r="D45" s="17" t="inlineStr">
        <is>
          <t>Trưởng đơn vị xem việc của đơn vị mình dù không tham gia</t>
        </is>
      </c>
      <c r="E45" s="17" t="inlineStr">
        <is>
          <t>truongdonvi giao 1 việc cho chunhiem (matdat không liên quan).</t>
        </is>
      </c>
      <c r="F45" s="17" t="inlineStr">
        <is>
          <t>matdat</t>
        </is>
      </c>
      <c r="G45" s="17" t="inlineStr">
        <is>
          <t>1. Đăng nhập matdat, vào Giao việc, tìm mã việc vừa tạo.</t>
        </is>
      </c>
      <c r="H45" s="17" t="inlineStr">
        <is>
          <t>matdat thấy việc này (chủ trì chunhiem thuộc MD – đơn vị matdat quản lý).</t>
        </is>
      </c>
      <c r="I45" s="21" t="inlineStr">
        <is>
          <t>Cao</t>
        </is>
      </c>
      <c r="J45" s="22" t="n"/>
      <c r="K45" s="23" t="inlineStr">
        <is>
          <t>Chưa test</t>
        </is>
      </c>
      <c r="L45" s="22" t="n"/>
      <c r="M45" s="24" t="n"/>
      <c r="N45" s="22" t="n"/>
    </row>
    <row r="46">
      <c r="A46" s="20" t="inlineStr">
        <is>
          <t>TC-KPI-03</t>
        </is>
      </c>
      <c r="B46" s="17" t="inlineStr">
        <is>
          <t>Phạm vi xem, KPI, thống kê</t>
        </is>
      </c>
      <c r="C46" s="21" t="inlineStr">
        <is>
          <t>NT-05</t>
        </is>
      </c>
      <c r="D46" s="17" t="inlineStr">
        <is>
          <t>Không xem được việc của đơn vị khác</t>
        </is>
      </c>
      <c r="E46" s="17" t="inlineStr">
        <is>
          <t>Việc ở TC-KPI-02.</t>
        </is>
      </c>
      <c r="F46" s="17" t="inlineStr">
        <is>
          <t>hientruong</t>
        </is>
      </c>
      <c r="G46" s="17" t="inlineStr">
        <is>
          <t>1. Đăng nhập hientruong, tìm mã việc ở TC-KPI-02.</t>
        </is>
      </c>
      <c r="H46" s="17" t="inlineStr">
        <is>
          <t>Không tìm thấy (hientruong thuộc DB, không tham gia việc).</t>
        </is>
      </c>
      <c r="I46" s="21" t="inlineStr">
        <is>
          <t>Cao</t>
        </is>
      </c>
      <c r="J46" s="22" t="n"/>
      <c r="K46" s="23" t="inlineStr">
        <is>
          <t>Chưa test</t>
        </is>
      </c>
      <c r="L46" s="22" t="n"/>
      <c r="M46" s="24" t="n"/>
      <c r="N46" s="22" t="n"/>
    </row>
    <row r="47">
      <c r="A47" s="20" t="inlineStr">
        <is>
          <t>TC-KPI-04</t>
        </is>
      </c>
      <c r="B47" s="17" t="inlineStr">
        <is>
          <t>Phạm vi xem, KPI, thống kê</t>
        </is>
      </c>
      <c r="C47" s="21" t="inlineStr">
        <is>
          <t>FR-08, BR-09</t>
        </is>
      </c>
      <c r="D47" s="17" t="inlineStr">
        <is>
          <t>KPI theo phạm vi – Nhân viên</t>
        </is>
      </c>
      <c r="E47" s="17" t="inlineStr">
        <is>
          <t>–</t>
        </is>
      </c>
      <c r="F47" s="17" t="inlineStr">
        <is>
          <t>chunhiem</t>
        </is>
      </c>
      <c r="G47" s="17" t="inlineStr">
        <is>
          <t>1. Vào 'KPI &amp; Hiệu suất'.</t>
        </is>
      </c>
      <c r="H47" s="17" t="inlineStr">
        <is>
          <t>Chỉ có 1 dòng KPI: Đoàn ĐVL Mặt đất.</t>
        </is>
      </c>
      <c r="I47" s="21" t="inlineStr">
        <is>
          <t>Cao</t>
        </is>
      </c>
      <c r="J47" s="22" t="n"/>
      <c r="K47" s="23" t="inlineStr">
        <is>
          <t>Chưa test</t>
        </is>
      </c>
      <c r="L47" s="22" t="n"/>
      <c r="M47" s="24" t="n"/>
      <c r="N47" s="22" t="n"/>
    </row>
    <row r="48">
      <c r="A48" s="20" t="inlineStr">
        <is>
          <t>TC-KPI-05</t>
        </is>
      </c>
      <c r="B48" s="17" t="inlineStr">
        <is>
          <t>Phạm vi xem, KPI, thống kê</t>
        </is>
      </c>
      <c r="C48" s="21" t="inlineStr">
        <is>
          <t>FR-08, BR-09</t>
        </is>
      </c>
      <c r="D48" s="17" t="inlineStr">
        <is>
          <t>KPI theo phạm vi – Trưởng đơn vị</t>
        </is>
      </c>
      <c r="E48" s="17" t="inlineStr">
        <is>
          <t>–</t>
        </is>
      </c>
      <c r="F48" s="17" t="inlineStr">
        <is>
          <t>ketoantruong</t>
        </is>
      </c>
      <c r="G48" s="17" t="inlineStr">
        <is>
          <t>1. Vào 'KPI &amp; Hiệu suất'.</t>
        </is>
      </c>
      <c r="H48" s="17" t="inlineStr">
        <is>
          <t>Chỉ có KPI của Phòng Kế hoạch – Tài chính (đơn vị mình quản lý).</t>
        </is>
      </c>
      <c r="I48" s="21" t="inlineStr">
        <is>
          <t>Cao</t>
        </is>
      </c>
      <c r="J48" s="22" t="n"/>
      <c r="K48" s="23" t="inlineStr">
        <is>
          <t>Chưa test</t>
        </is>
      </c>
      <c r="L48" s="22" t="n"/>
      <c r="M48" s="24" t="n"/>
      <c r="N48" s="22" t="n"/>
    </row>
    <row r="49">
      <c r="A49" s="20" t="inlineStr">
        <is>
          <t>TC-KPI-06</t>
        </is>
      </c>
      <c r="B49" s="17" t="inlineStr">
        <is>
          <t>Phạm vi xem, KPI, thống kê</t>
        </is>
      </c>
      <c r="C49" s="21" t="inlineStr">
        <is>
          <t>FR-07</t>
        </is>
      </c>
      <c r="D49" s="17" t="inlineStr">
        <is>
          <t>KPI đơn vị chỉ tính việc do cấp quản lý toàn tổ chức giao</t>
        </is>
      </c>
      <c r="E49" s="17" t="inlineStr">
        <is>
          <t>Ghi lại 'x/y việc Liên đoàn trưởng giao' của Đoàn ĐVL Mặt đất.</t>
        </is>
      </c>
      <c r="F49" s="17" t="inlineStr">
        <is>
          <t>truongdonvi + chunhiem</t>
        </is>
      </c>
      <c r="G49" s="17" t="inlineStr">
        <is>
          <t>1. truongdonvi giao việc trực tiếp (không phải việc con) cho chunhiem.
2. Xem lại KPI Đoàn ĐVL Mặt đất.</t>
        </is>
      </c>
      <c r="H49" s="17" t="inlineStr">
        <is>
          <t>Mẫu số y không đổi (việc do Trưởng đơn vị giao không tính vào KPI cấp đơn vị); tổng số việc của đơn vị tăng 1.</t>
        </is>
      </c>
      <c r="I49" s="21" t="inlineStr">
        <is>
          <t>Trung bình</t>
        </is>
      </c>
      <c r="J49" s="22" t="n"/>
      <c r="K49" s="23" t="inlineStr">
        <is>
          <t>Chưa test</t>
        </is>
      </c>
      <c r="L49" s="22" t="n"/>
      <c r="M49" s="24" t="n"/>
      <c r="N49" s="22" t="n"/>
    </row>
    <row r="50">
      <c r="A50" s="20" t="inlineStr">
        <is>
          <t>TC-KPI-07</t>
        </is>
      </c>
      <c r="B50" s="17" t="inlineStr">
        <is>
          <t>Phạm vi xem, KPI, thống kê</t>
        </is>
      </c>
      <c r="C50" s="21" t="inlineStr">
        <is>
          <t>§8</t>
        </is>
      </c>
      <c r="D50" s="17" t="inlineStr">
        <is>
          <t>Dashboard lãnh đạo chỉ dành cho cấp quản lý toàn tổ chức</t>
        </is>
      </c>
      <c r="E50" s="17" t="inlineStr">
        <is>
          <t>–</t>
        </is>
      </c>
      <c r="F50" s="17" t="inlineStr">
        <is>
          <t>lanhdao, truongdonvi</t>
        </is>
      </c>
      <c r="G50" s="17" t="inlineStr">
        <is>
          <t>1. lanhdao mở Trang chủ.
2. truongdonvi mở Trang chủ.</t>
        </is>
      </c>
      <c r="H50" s="17" t="inlineStr">
        <is>
          <t>lanhdao thấy dashboard điều hành toàn Liên đoàn (KPI các đơn vị, dòng tiền); truongdonvi thấy dashboard đơn vị + hộp việc của mình.</t>
        </is>
      </c>
      <c r="I50" s="21" t="inlineStr">
        <is>
          <t>Cao</t>
        </is>
      </c>
      <c r="J50" s="22" t="n"/>
      <c r="K50" s="23" t="inlineStr">
        <is>
          <t>Chưa test</t>
        </is>
      </c>
      <c r="L50" s="22" t="n"/>
      <c r="M50" s="24" t="n"/>
      <c r="N50" s="22" t="n"/>
    </row>
    <row r="51">
      <c r="A51" s="20" t="inlineStr">
        <is>
          <t>TC-KPI-08</t>
        </is>
      </c>
      <c r="B51" s="17" t="inlineStr">
        <is>
          <t>Phạm vi xem, KPI, thống kê</t>
        </is>
      </c>
      <c r="C51" s="21" t="inlineStr">
        <is>
          <t>§12</t>
        </is>
      </c>
      <c r="D51" s="17" t="inlineStr">
        <is>
          <t>Phạm vi xem đổi theo dữ liệu, không theo tên role</t>
        </is>
      </c>
      <c r="E51" s="17" t="inlineStr">
        <is>
          <t>Sau test: trả truongdonvi về TRUONG_DON_VI / MD.</t>
        </is>
      </c>
      <c r="F51" s="17" t="inlineStr">
        <is>
          <t>admin + truongdonvi</t>
        </is>
      </c>
      <c r="G51" s="17" t="inlineStr">
        <is>
          <t>1. Admin đổi truongdonvi sang chức vụ LANH_DAO, đơn vị BLD.
2. truongdonvi đăng nhập lại và tải lại trang (F5) để nạp tổ chức mới; mở Trang chủ và Giao việc.</t>
        </is>
      </c>
      <c r="H51" s="17" t="inlineStr">
        <is>
          <t>truongdonvi thấy dashboard điều hành, thấy toàn bộ việc và giao được cho mọi người (như Lãnh đạo) mà không sửa code.</t>
        </is>
      </c>
      <c r="I51" s="21" t="inlineStr">
        <is>
          <t>Trung bình</t>
        </is>
      </c>
      <c r="J51" s="22" t="n"/>
      <c r="K51" s="23" t="inlineStr">
        <is>
          <t>Chưa test</t>
        </is>
      </c>
      <c r="L51" s="22" t="n"/>
      <c r="M51" s="24" t="n"/>
      <c r="N51" s="22" t="n"/>
    </row>
    <row r="52">
      <c r="A52" s="20" t="inlineStr">
        <is>
          <t>TC-AUD-01</t>
        </is>
      </c>
      <c r="B52" s="17" t="inlineStr">
        <is>
          <t>Audit log</t>
        </is>
      </c>
      <c r="C52" s="21" t="inlineStr">
        <is>
          <t>FR-09, §12</t>
        </is>
      </c>
      <c r="D52" s="17" t="inlineStr">
        <is>
          <t>Ghi audit khi đổi chức vụ/đơn vị/role người dùng</t>
        </is>
      </c>
      <c r="E52" s="17" t="inlineStr">
        <is>
          <t>Thực hiện sau TC-ORG-01.</t>
        </is>
      </c>
      <c r="F52" s="17" t="inlineStr">
        <is>
          <t>admin</t>
        </is>
      </c>
      <c r="G52" s="17" t="inlineStr">
        <is>
          <t>1. GET {BASE}/api/audit-logs?resourceType=user</t>
        </is>
      </c>
      <c r="H52" s="17" t="inlineStr">
        <is>
          <t>Có bản ghi action='update-access', actorUsername='admin', resourceId = id kythuat, detail dạng 'roles=[..] position=.. unit=KT .. -&gt; .. unit=MD ..'.</t>
        </is>
      </c>
      <c r="I52" s="21" t="inlineStr">
        <is>
          <t>Cao</t>
        </is>
      </c>
      <c r="J52" s="22" t="n"/>
      <c r="K52" s="23" t="inlineStr">
        <is>
          <t>Chưa test</t>
        </is>
      </c>
      <c r="L52" s="22" t="n"/>
      <c r="M52" s="24" t="n"/>
      <c r="N52" s="22" t="n"/>
    </row>
    <row r="53">
      <c r="A53" s="20" t="inlineStr">
        <is>
          <t>TC-AUD-02</t>
        </is>
      </c>
      <c r="B53" s="17" t="inlineStr">
        <is>
          <t>Audit log</t>
        </is>
      </c>
      <c r="C53" s="21" t="inlineStr">
        <is>
          <t>FR-09</t>
        </is>
      </c>
      <c r="D53" s="17" t="inlineStr">
        <is>
          <t>Ghi audit khi đổi permission của role</t>
        </is>
      </c>
      <c r="E53" s="17" t="inlineStr">
        <is>
          <t>Thực hiện sau TC-AUTH-05.</t>
        </is>
      </c>
      <c r="F53" s="17" t="inlineStr">
        <is>
          <t>admin</t>
        </is>
      </c>
      <c r="G53" s="17" t="inlineStr">
        <is>
          <t>1. GET {BASE}/api/audit-logs?resourceType=role</t>
        </is>
      </c>
      <c r="H53" s="17" t="inlineStr">
        <is>
          <t>Có bản ghi action='update', resourceId='truongdonvi', detail 'permissions [...] -&gt; [...]' cho thấy vldc-directives:create bị bỏ/cấp lại.</t>
        </is>
      </c>
      <c r="I53" s="21" t="inlineStr">
        <is>
          <t>Cao</t>
        </is>
      </c>
      <c r="J53" s="22" t="n"/>
      <c r="K53" s="23" t="inlineStr">
        <is>
          <t>Chưa test</t>
        </is>
      </c>
      <c r="L53" s="22" t="n"/>
      <c r="M53" s="24" t="n"/>
      <c r="N53" s="22" t="n"/>
    </row>
    <row r="54">
      <c r="A54" s="20" t="inlineStr">
        <is>
          <t>TC-AUD-03</t>
        </is>
      </c>
      <c r="B54" s="17" t="inlineStr">
        <is>
          <t>Audit log</t>
        </is>
      </c>
      <c r="C54" s="21" t="inlineStr">
        <is>
          <t>FR-09</t>
        </is>
      </c>
      <c r="D54" s="17" t="inlineStr">
        <is>
          <t>Ghi audit thao tác đơn vị và tài khoản</t>
        </is>
      </c>
      <c r="E54" s="17" t="inlineStr">
        <is>
          <t>Sau TC-ORG-04, TC-ORG-05.</t>
        </is>
      </c>
      <c r="F54" s="17" t="inlineStr">
        <is>
          <t>admin</t>
        </is>
      </c>
      <c r="G54" s="17" t="inlineStr">
        <is>
          <t>1. GET {BASE}/api/audit-logs?resourceType=department
2. Reset mật khẩu 1 tài khoản test, GET /api/audit-logs?resourceType=user</t>
        </is>
      </c>
      <c r="H54" s="17" t="inlineStr">
        <is>
          <t>Có bản ghi create/update department; có 'reset-password' với đúng resourceId. Không ghi mật khẩu vào detail.</t>
        </is>
      </c>
      <c r="I54" s="21" t="inlineStr">
        <is>
          <t>Trung bình</t>
        </is>
      </c>
      <c r="J54" s="22" t="n"/>
      <c r="K54" s="23" t="inlineStr">
        <is>
          <t>Chưa test</t>
        </is>
      </c>
      <c r="L54" s="22" t="n"/>
      <c r="M54" s="24" t="n"/>
      <c r="N54" s="22" t="n"/>
    </row>
    <row r="55">
      <c r="A55" s="20" t="inlineStr">
        <is>
          <t>TC-AUD-04</t>
        </is>
      </c>
      <c r="B55" s="17" t="inlineStr">
        <is>
          <t>Audit log</t>
        </is>
      </c>
      <c r="C55" s="21" t="inlineStr">
        <is>
          <t>BR-07</t>
        </is>
      </c>
      <c r="D55" s="17" t="inlineStr">
        <is>
          <t>Chỉ quản trị viên xem được audit log</t>
        </is>
      </c>
      <c r="E55" s="17" t="inlineStr">
        <is>
          <t>–</t>
        </is>
      </c>
      <c r="F55" s="17" t="inlineStr">
        <is>
          <t>lanhdao</t>
        </is>
      </c>
      <c r="G55" s="17" t="inlineStr">
        <is>
          <t>1. GET {BASE}/api/audit-logs</t>
        </is>
      </c>
      <c r="H55" s="17" t="inlineStr">
        <is>
          <t>HTTP 403.</t>
        </is>
      </c>
      <c r="I55" s="21" t="inlineStr">
        <is>
          <t>Cao</t>
        </is>
      </c>
      <c r="J55" s="22" t="n"/>
      <c r="K55" s="23" t="inlineStr">
        <is>
          <t>Chưa test</t>
        </is>
      </c>
      <c r="L55" s="22" t="n"/>
      <c r="M55" s="24" t="n"/>
      <c r="N55" s="22" t="n"/>
    </row>
    <row r="56">
      <c r="A56" s="20" t="inlineStr">
        <is>
          <t>TC-AUD-05</t>
        </is>
      </c>
      <c r="B56" s="17" t="inlineStr">
        <is>
          <t>Audit log</t>
        </is>
      </c>
      <c r="C56" s="21" t="inlineStr">
        <is>
          <t>NFR</t>
        </is>
      </c>
      <c r="D56" s="17" t="inlineStr">
        <is>
          <t>Thao tác bị từ chối không ghi audit thay đổi</t>
        </is>
      </c>
      <c r="E56" s="17" t="inlineStr">
        <is>
          <t>–</t>
        </is>
      </c>
      <c r="F56" s="17" t="inlineStr">
        <is>
          <t>admin</t>
        </is>
      </c>
      <c r="G56" s="17" t="inlineStr">
        <is>
          <t>1. Thực hiện TC-ORG-02 (mã chức vụ sai).
2. GET /api/audit-logs?resourceType=user</t>
        </is>
      </c>
      <c r="H56" s="17" t="inlineStr">
        <is>
          <t>Không có bản ghi mới cho thao tác bị lỗi.</t>
        </is>
      </c>
      <c r="I56" s="21" t="inlineStr">
        <is>
          <t>Thấp</t>
        </is>
      </c>
      <c r="J56" s="22" t="n"/>
      <c r="K56" s="23" t="inlineStr">
        <is>
          <t>Chưa test</t>
        </is>
      </c>
      <c r="L56" s="22" t="n"/>
      <c r="M56" s="24" t="n"/>
      <c r="N56" s="22" t="n"/>
    </row>
  </sheetData>
  <autoFilter ref="A1:N56"/>
  <conditionalFormatting sqref="K2:K5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2">
    <dataValidation sqref="K2:K56" showDropDown="0" showInputMessage="0" showErrorMessage="0" allowBlank="0" errorTitle="Trạng thái không hợp lệ" error="Chọn Chưa test / Pass / Fail / Blocked" type="list">
      <formula1>"Chưa test,Pass,Fail,Blocked"</formula1>
    </dataValidation>
    <dataValidation sqref="M2:M56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25" t="inlineStr">
        <is>
          <t>Người giao ↓ / Người nhận →  (✓ = được giao; – = không). Theo quy tắc: người nhận thuộc đơn vị người giao quản lý (kể cả đơn vị con) và có level lớn hơn.</t>
        </is>
      </c>
    </row>
    <row r="3" ht="90" customHeight="1">
      <c r="A3" s="7" t="inlineStr">
        <is>
          <t>Người giao</t>
        </is>
      </c>
      <c r="B3" s="7" t="inlineStr">
        <is>
          <t>Chức vụ / Đơn vị</t>
        </is>
      </c>
      <c r="C3" s="26" t="inlineStr">
        <is>
          <t>lanhdao</t>
        </is>
      </c>
      <c r="D3" s="26" t="inlineStr">
        <is>
          <t>truongdonvi</t>
        </is>
      </c>
      <c r="E3" s="26" t="inlineStr">
        <is>
          <t>matdat</t>
        </is>
      </c>
      <c r="F3" s="26" t="inlineStr">
        <is>
          <t>chunhiem</t>
        </is>
      </c>
      <c r="G3" s="26" t="inlineStr">
        <is>
          <t>bien</t>
        </is>
      </c>
      <c r="H3" s="26" t="inlineStr">
        <is>
          <t>hientruong</t>
        </is>
      </c>
      <c r="I3" s="26" t="inlineStr">
        <is>
          <t>hangkhong</t>
        </is>
      </c>
      <c r="J3" s="26" t="inlineStr">
        <is>
          <t>trungtam</t>
        </is>
      </c>
      <c r="K3" s="26" t="inlineStr">
        <is>
          <t>kythuat</t>
        </is>
      </c>
      <c r="L3" s="26" t="inlineStr">
        <is>
          <t>ketoantruong</t>
        </is>
      </c>
      <c r="M3" s="26" t="inlineStr">
        <is>
          <t>kehoach</t>
        </is>
      </c>
      <c r="N3" s="26" t="inlineStr">
        <is>
          <t>ketoan</t>
        </is>
      </c>
      <c r="O3" s="26" t="inlineStr">
        <is>
          <t>tochuc</t>
        </is>
      </c>
    </row>
    <row r="4">
      <c r="A4" s="27" t="inlineStr">
        <is>
          <t>lanhdao</t>
        </is>
      </c>
      <c r="B4" s="28" t="inlineStr">
        <is>
          <t>LANH_DAO / BLD</t>
        </is>
      </c>
      <c r="C4" s="29" t="inlineStr">
        <is>
          <t>■</t>
        </is>
      </c>
      <c r="D4" s="30" t="inlineStr">
        <is>
          <t>✓</t>
        </is>
      </c>
      <c r="E4" s="30" t="inlineStr">
        <is>
          <t>✓</t>
        </is>
      </c>
      <c r="F4" s="30" t="inlineStr">
        <is>
          <t>✓</t>
        </is>
      </c>
      <c r="G4" s="30" t="inlineStr">
        <is>
          <t>✓</t>
        </is>
      </c>
      <c r="H4" s="30" t="inlineStr">
        <is>
          <t>✓</t>
        </is>
      </c>
      <c r="I4" s="30" t="inlineStr">
        <is>
          <t>✓</t>
        </is>
      </c>
      <c r="J4" s="30" t="inlineStr">
        <is>
          <t>✓</t>
        </is>
      </c>
      <c r="K4" s="30" t="inlineStr">
        <is>
          <t>✓</t>
        </is>
      </c>
      <c r="L4" s="30" t="inlineStr">
        <is>
          <t>✓</t>
        </is>
      </c>
      <c r="M4" s="30" t="inlineStr">
        <is>
          <t>✓</t>
        </is>
      </c>
      <c r="N4" s="30" t="inlineStr">
        <is>
          <t>✓</t>
        </is>
      </c>
      <c r="O4" s="30" t="inlineStr">
        <is>
          <t>✓</t>
        </is>
      </c>
    </row>
    <row r="5">
      <c r="A5" s="27" t="inlineStr">
        <is>
          <t>truongdonvi</t>
        </is>
      </c>
      <c r="B5" s="28" t="inlineStr">
        <is>
          <t>TRUONG_DON_VI / MD</t>
        </is>
      </c>
      <c r="C5" s="31" t="inlineStr">
        <is>
          <t>–</t>
        </is>
      </c>
      <c r="D5" s="29" t="inlineStr">
        <is>
          <t>■</t>
        </is>
      </c>
      <c r="E5" s="31" t="inlineStr">
        <is>
          <t>–</t>
        </is>
      </c>
      <c r="F5" s="30" t="inlineStr">
        <is>
          <t>✓</t>
        </is>
      </c>
      <c r="G5" s="31" t="inlineStr">
        <is>
          <t>–</t>
        </is>
      </c>
      <c r="H5" s="31" t="inlineStr">
        <is>
          <t>–</t>
        </is>
      </c>
      <c r="I5" s="31" t="inlineStr">
        <is>
          <t>–</t>
        </is>
      </c>
      <c r="J5" s="31" t="inlineStr">
        <is>
          <t>–</t>
        </is>
      </c>
      <c r="K5" s="31" t="inlineStr">
        <is>
          <t>–</t>
        </is>
      </c>
      <c r="L5" s="31" t="inlineStr">
        <is>
          <t>–</t>
        </is>
      </c>
      <c r="M5" s="31" t="inlineStr">
        <is>
          <t>–</t>
        </is>
      </c>
      <c r="N5" s="31" t="inlineStr">
        <is>
          <t>–</t>
        </is>
      </c>
      <c r="O5" s="31" t="inlineStr">
        <is>
          <t>–</t>
        </is>
      </c>
    </row>
    <row r="6">
      <c r="A6" s="27" t="inlineStr">
        <is>
          <t>matdat</t>
        </is>
      </c>
      <c r="B6" s="28" t="inlineStr">
        <is>
          <t>TRUONG_DON_VI / MD</t>
        </is>
      </c>
      <c r="C6" s="31" t="inlineStr">
        <is>
          <t>–</t>
        </is>
      </c>
      <c r="D6" s="31" t="inlineStr">
        <is>
          <t>–</t>
        </is>
      </c>
      <c r="E6" s="29" t="inlineStr">
        <is>
          <t>■</t>
        </is>
      </c>
      <c r="F6" s="30" t="inlineStr">
        <is>
          <t>✓</t>
        </is>
      </c>
      <c r="G6" s="31" t="inlineStr">
        <is>
          <t>–</t>
        </is>
      </c>
      <c r="H6" s="31" t="inlineStr">
        <is>
          <t>–</t>
        </is>
      </c>
      <c r="I6" s="31" t="inlineStr">
        <is>
          <t>–</t>
        </is>
      </c>
      <c r="J6" s="31" t="inlineStr">
        <is>
          <t>–</t>
        </is>
      </c>
      <c r="K6" s="31" t="inlineStr">
        <is>
          <t>–</t>
        </is>
      </c>
      <c r="L6" s="31" t="inlineStr">
        <is>
          <t>–</t>
        </is>
      </c>
      <c r="M6" s="31" t="inlineStr">
        <is>
          <t>–</t>
        </is>
      </c>
      <c r="N6" s="31" t="inlineStr">
        <is>
          <t>–</t>
        </is>
      </c>
      <c r="O6" s="31" t="inlineStr">
        <is>
          <t>–</t>
        </is>
      </c>
    </row>
    <row r="7">
      <c r="A7" s="27" t="inlineStr">
        <is>
          <t>chunhiem</t>
        </is>
      </c>
      <c r="B7" s="28" t="inlineStr">
        <is>
          <t>NHAN_VIEN / MD</t>
        </is>
      </c>
      <c r="C7" s="31" t="inlineStr">
        <is>
          <t>–</t>
        </is>
      </c>
      <c r="D7" s="31" t="inlineStr">
        <is>
          <t>–</t>
        </is>
      </c>
      <c r="E7" s="31" t="inlineStr">
        <is>
          <t>–</t>
        </is>
      </c>
      <c r="F7" s="29" t="inlineStr">
        <is>
          <t>■</t>
        </is>
      </c>
      <c r="G7" s="31" t="inlineStr">
        <is>
          <t>–</t>
        </is>
      </c>
      <c r="H7" s="31" t="inlineStr">
        <is>
          <t>–</t>
        </is>
      </c>
      <c r="I7" s="31" t="inlineStr">
        <is>
          <t>–</t>
        </is>
      </c>
      <c r="J7" s="31" t="inlineStr">
        <is>
          <t>–</t>
        </is>
      </c>
      <c r="K7" s="31" t="inlineStr">
        <is>
          <t>–</t>
        </is>
      </c>
      <c r="L7" s="31" t="inlineStr">
        <is>
          <t>–</t>
        </is>
      </c>
      <c r="M7" s="31" t="inlineStr">
        <is>
          <t>–</t>
        </is>
      </c>
      <c r="N7" s="31" t="inlineStr">
        <is>
          <t>–</t>
        </is>
      </c>
      <c r="O7" s="31" t="inlineStr">
        <is>
          <t>–</t>
        </is>
      </c>
    </row>
    <row r="8">
      <c r="A8" s="27" t="inlineStr">
        <is>
          <t>bien</t>
        </is>
      </c>
      <c r="B8" s="28" t="inlineStr">
        <is>
          <t>TRUONG_DON_VI / DB</t>
        </is>
      </c>
      <c r="C8" s="31" t="inlineStr">
        <is>
          <t>–</t>
        </is>
      </c>
      <c r="D8" s="31" t="inlineStr">
        <is>
          <t>–</t>
        </is>
      </c>
      <c r="E8" s="31" t="inlineStr">
        <is>
          <t>–</t>
        </is>
      </c>
      <c r="F8" s="31" t="inlineStr">
        <is>
          <t>–</t>
        </is>
      </c>
      <c r="G8" s="29" t="inlineStr">
        <is>
          <t>■</t>
        </is>
      </c>
      <c r="H8" s="30" t="inlineStr">
        <is>
          <t>✓</t>
        </is>
      </c>
      <c r="I8" s="31" t="inlineStr">
        <is>
          <t>–</t>
        </is>
      </c>
      <c r="J8" s="31" t="inlineStr">
        <is>
          <t>–</t>
        </is>
      </c>
      <c r="K8" s="31" t="inlineStr">
        <is>
          <t>–</t>
        </is>
      </c>
      <c r="L8" s="31" t="inlineStr">
        <is>
          <t>–</t>
        </is>
      </c>
      <c r="M8" s="31" t="inlineStr">
        <is>
          <t>–</t>
        </is>
      </c>
      <c r="N8" s="31" t="inlineStr">
        <is>
          <t>–</t>
        </is>
      </c>
      <c r="O8" s="31" t="inlineStr">
        <is>
          <t>–</t>
        </is>
      </c>
    </row>
    <row r="9">
      <c r="A9" s="27" t="inlineStr">
        <is>
          <t>hientruong</t>
        </is>
      </c>
      <c r="B9" s="28" t="inlineStr">
        <is>
          <t>NHAN_VIEN / DB</t>
        </is>
      </c>
      <c r="C9" s="31" t="inlineStr">
        <is>
          <t>–</t>
        </is>
      </c>
      <c r="D9" s="31" t="inlineStr">
        <is>
          <t>–</t>
        </is>
      </c>
      <c r="E9" s="31" t="inlineStr">
        <is>
          <t>–</t>
        </is>
      </c>
      <c r="F9" s="31" t="inlineStr">
        <is>
          <t>–</t>
        </is>
      </c>
      <c r="G9" s="31" t="inlineStr">
        <is>
          <t>–</t>
        </is>
      </c>
      <c r="H9" s="29" t="inlineStr">
        <is>
          <t>■</t>
        </is>
      </c>
      <c r="I9" s="31" t="inlineStr">
        <is>
          <t>–</t>
        </is>
      </c>
      <c r="J9" s="31" t="inlineStr">
        <is>
          <t>–</t>
        </is>
      </c>
      <c r="K9" s="31" t="inlineStr">
        <is>
          <t>–</t>
        </is>
      </c>
      <c r="L9" s="31" t="inlineStr">
        <is>
          <t>–</t>
        </is>
      </c>
      <c r="M9" s="31" t="inlineStr">
        <is>
          <t>–</t>
        </is>
      </c>
      <c r="N9" s="31" t="inlineStr">
        <is>
          <t>–</t>
        </is>
      </c>
      <c r="O9" s="31" t="inlineStr">
        <is>
          <t>–</t>
        </is>
      </c>
    </row>
    <row r="10">
      <c r="A10" s="27" t="inlineStr">
        <is>
          <t>hangkhong</t>
        </is>
      </c>
      <c r="B10" s="28" t="inlineStr">
        <is>
          <t>TRUONG_DON_VI / HK</t>
        </is>
      </c>
      <c r="C10" s="31" t="inlineStr">
        <is>
          <t>–</t>
        </is>
      </c>
      <c r="D10" s="31" t="inlineStr">
        <is>
          <t>–</t>
        </is>
      </c>
      <c r="E10" s="31" t="inlineStr">
        <is>
          <t>–</t>
        </is>
      </c>
      <c r="F10" s="31" t="inlineStr">
        <is>
          <t>–</t>
        </is>
      </c>
      <c r="G10" s="31" t="inlineStr">
        <is>
          <t>–</t>
        </is>
      </c>
      <c r="H10" s="31" t="inlineStr">
        <is>
          <t>–</t>
        </is>
      </c>
      <c r="I10" s="29" t="inlineStr">
        <is>
          <t>■</t>
        </is>
      </c>
      <c r="J10" s="31" t="inlineStr">
        <is>
          <t>–</t>
        </is>
      </c>
      <c r="K10" s="31" t="inlineStr">
        <is>
          <t>–</t>
        </is>
      </c>
      <c r="L10" s="31" t="inlineStr">
        <is>
          <t>–</t>
        </is>
      </c>
      <c r="M10" s="31" t="inlineStr">
        <is>
          <t>–</t>
        </is>
      </c>
      <c r="N10" s="31" t="inlineStr">
        <is>
          <t>–</t>
        </is>
      </c>
      <c r="O10" s="31" t="inlineStr">
        <is>
          <t>–</t>
        </is>
      </c>
    </row>
    <row r="11">
      <c r="A11" s="27" t="inlineStr">
        <is>
          <t>trungtam</t>
        </is>
      </c>
      <c r="B11" s="28" t="inlineStr">
        <is>
          <t>TRUONG_DON_VI / TT</t>
        </is>
      </c>
      <c r="C11" s="31" t="inlineStr">
        <is>
          <t>–</t>
        </is>
      </c>
      <c r="D11" s="31" t="inlineStr">
        <is>
          <t>–</t>
        </is>
      </c>
      <c r="E11" s="31" t="inlineStr">
        <is>
          <t>–</t>
        </is>
      </c>
      <c r="F11" s="31" t="inlineStr">
        <is>
          <t>–</t>
        </is>
      </c>
      <c r="G11" s="31" t="inlineStr">
        <is>
          <t>–</t>
        </is>
      </c>
      <c r="H11" s="31" t="inlineStr">
        <is>
          <t>–</t>
        </is>
      </c>
      <c r="I11" s="31" t="inlineStr">
        <is>
          <t>–</t>
        </is>
      </c>
      <c r="J11" s="29" t="inlineStr">
        <is>
          <t>■</t>
        </is>
      </c>
      <c r="K11" s="31" t="inlineStr">
        <is>
          <t>–</t>
        </is>
      </c>
      <c r="L11" s="31" t="inlineStr">
        <is>
          <t>–</t>
        </is>
      </c>
      <c r="M11" s="31" t="inlineStr">
        <is>
          <t>–</t>
        </is>
      </c>
      <c r="N11" s="31" t="inlineStr">
        <is>
          <t>–</t>
        </is>
      </c>
      <c r="O11" s="31" t="inlineStr">
        <is>
          <t>–</t>
        </is>
      </c>
    </row>
    <row r="12">
      <c r="A12" s="27" t="inlineStr">
        <is>
          <t>kythuat</t>
        </is>
      </c>
      <c r="B12" s="28" t="inlineStr">
        <is>
          <t>NHAN_VIEN / KT</t>
        </is>
      </c>
      <c r="C12" s="31" t="inlineStr">
        <is>
          <t>–</t>
        </is>
      </c>
      <c r="D12" s="31" t="inlineStr">
        <is>
          <t>–</t>
        </is>
      </c>
      <c r="E12" s="31" t="inlineStr">
        <is>
          <t>–</t>
        </is>
      </c>
      <c r="F12" s="31" t="inlineStr">
        <is>
          <t>–</t>
        </is>
      </c>
      <c r="G12" s="31" t="inlineStr">
        <is>
          <t>–</t>
        </is>
      </c>
      <c r="H12" s="31" t="inlineStr">
        <is>
          <t>–</t>
        </is>
      </c>
      <c r="I12" s="31" t="inlineStr">
        <is>
          <t>–</t>
        </is>
      </c>
      <c r="J12" s="31" t="inlineStr">
        <is>
          <t>–</t>
        </is>
      </c>
      <c r="K12" s="29" t="inlineStr">
        <is>
          <t>■</t>
        </is>
      </c>
      <c r="L12" s="31" t="inlineStr">
        <is>
          <t>–</t>
        </is>
      </c>
      <c r="M12" s="31" t="inlineStr">
        <is>
          <t>–</t>
        </is>
      </c>
      <c r="N12" s="31" t="inlineStr">
        <is>
          <t>–</t>
        </is>
      </c>
      <c r="O12" s="31" t="inlineStr">
        <is>
          <t>–</t>
        </is>
      </c>
    </row>
    <row r="13">
      <c r="A13" s="27" t="inlineStr">
        <is>
          <t>ketoantruong</t>
        </is>
      </c>
      <c r="B13" s="28" t="inlineStr">
        <is>
          <t>TRUONG_DON_VI / KHTC</t>
        </is>
      </c>
      <c r="C13" s="31" t="inlineStr">
        <is>
          <t>–</t>
        </is>
      </c>
      <c r="D13" s="31" t="inlineStr">
        <is>
          <t>–</t>
        </is>
      </c>
      <c r="E13" s="31" t="inlineStr">
        <is>
          <t>–</t>
        </is>
      </c>
      <c r="F13" s="31" t="inlineStr">
        <is>
          <t>–</t>
        </is>
      </c>
      <c r="G13" s="31" t="inlineStr">
        <is>
          <t>–</t>
        </is>
      </c>
      <c r="H13" s="31" t="inlineStr">
        <is>
          <t>–</t>
        </is>
      </c>
      <c r="I13" s="31" t="inlineStr">
        <is>
          <t>–</t>
        </is>
      </c>
      <c r="J13" s="31" t="inlineStr">
        <is>
          <t>–</t>
        </is>
      </c>
      <c r="K13" s="31" t="inlineStr">
        <is>
          <t>–</t>
        </is>
      </c>
      <c r="L13" s="29" t="inlineStr">
        <is>
          <t>■</t>
        </is>
      </c>
      <c r="M13" s="30" t="inlineStr">
        <is>
          <t>✓</t>
        </is>
      </c>
      <c r="N13" s="30" t="inlineStr">
        <is>
          <t>✓</t>
        </is>
      </c>
      <c r="O13" s="31" t="inlineStr">
        <is>
          <t>–</t>
        </is>
      </c>
    </row>
    <row r="14">
      <c r="A14" s="27" t="inlineStr">
        <is>
          <t>kehoach</t>
        </is>
      </c>
      <c r="B14" s="28" t="inlineStr">
        <is>
          <t>NHAN_VIEN / KHTC</t>
        </is>
      </c>
      <c r="C14" s="31" t="inlineStr">
        <is>
          <t>–</t>
        </is>
      </c>
      <c r="D14" s="31" t="inlineStr">
        <is>
          <t>–</t>
        </is>
      </c>
      <c r="E14" s="31" t="inlineStr">
        <is>
          <t>–</t>
        </is>
      </c>
      <c r="F14" s="31" t="inlineStr">
        <is>
          <t>–</t>
        </is>
      </c>
      <c r="G14" s="31" t="inlineStr">
        <is>
          <t>–</t>
        </is>
      </c>
      <c r="H14" s="31" t="inlineStr">
        <is>
          <t>–</t>
        </is>
      </c>
      <c r="I14" s="31" t="inlineStr">
        <is>
          <t>–</t>
        </is>
      </c>
      <c r="J14" s="31" t="inlineStr">
        <is>
          <t>–</t>
        </is>
      </c>
      <c r="K14" s="31" t="inlineStr">
        <is>
          <t>–</t>
        </is>
      </c>
      <c r="L14" s="31" t="inlineStr">
        <is>
          <t>–</t>
        </is>
      </c>
      <c r="M14" s="29" t="inlineStr">
        <is>
          <t>■</t>
        </is>
      </c>
      <c r="N14" s="31" t="inlineStr">
        <is>
          <t>–</t>
        </is>
      </c>
      <c r="O14" s="31" t="inlineStr">
        <is>
          <t>–</t>
        </is>
      </c>
    </row>
    <row r="15">
      <c r="A15" s="27" t="inlineStr">
        <is>
          <t>ketoan</t>
        </is>
      </c>
      <c r="B15" s="28" t="inlineStr">
        <is>
          <t>NHAN_VIEN / KHTC</t>
        </is>
      </c>
      <c r="C15" s="31" t="inlineStr">
        <is>
          <t>–</t>
        </is>
      </c>
      <c r="D15" s="31" t="inlineStr">
        <is>
          <t>–</t>
        </is>
      </c>
      <c r="E15" s="31" t="inlineStr">
        <is>
          <t>–</t>
        </is>
      </c>
      <c r="F15" s="31" t="inlineStr">
        <is>
          <t>–</t>
        </is>
      </c>
      <c r="G15" s="31" t="inlineStr">
        <is>
          <t>–</t>
        </is>
      </c>
      <c r="H15" s="31" t="inlineStr">
        <is>
          <t>–</t>
        </is>
      </c>
      <c r="I15" s="31" t="inlineStr">
        <is>
          <t>–</t>
        </is>
      </c>
      <c r="J15" s="31" t="inlineStr">
        <is>
          <t>–</t>
        </is>
      </c>
      <c r="K15" s="31" t="inlineStr">
        <is>
          <t>–</t>
        </is>
      </c>
      <c r="L15" s="31" t="inlineStr">
        <is>
          <t>–</t>
        </is>
      </c>
      <c r="M15" s="31" t="inlineStr">
        <is>
          <t>–</t>
        </is>
      </c>
      <c r="N15" s="29" t="inlineStr">
        <is>
          <t>■</t>
        </is>
      </c>
      <c r="O15" s="31" t="inlineStr">
        <is>
          <t>–</t>
        </is>
      </c>
    </row>
    <row r="16">
      <c r="A16" s="27" t="inlineStr">
        <is>
          <t>tochuc</t>
        </is>
      </c>
      <c r="B16" s="28" t="inlineStr">
        <is>
          <t>NHAN_VIEN / TCHC</t>
        </is>
      </c>
      <c r="C16" s="31" t="inlineStr">
        <is>
          <t>–</t>
        </is>
      </c>
      <c r="D16" s="31" t="inlineStr">
        <is>
          <t>–</t>
        </is>
      </c>
      <c r="E16" s="31" t="inlineStr">
        <is>
          <t>–</t>
        </is>
      </c>
      <c r="F16" s="31" t="inlineStr">
        <is>
          <t>–</t>
        </is>
      </c>
      <c r="G16" s="31" t="inlineStr">
        <is>
          <t>–</t>
        </is>
      </c>
      <c r="H16" s="31" t="inlineStr">
        <is>
          <t>–</t>
        </is>
      </c>
      <c r="I16" s="31" t="inlineStr">
        <is>
          <t>–</t>
        </is>
      </c>
      <c r="J16" s="31" t="inlineStr">
        <is>
          <t>–</t>
        </is>
      </c>
      <c r="K16" s="31" t="inlineStr">
        <is>
          <t>–</t>
        </is>
      </c>
      <c r="L16" s="31" t="inlineStr">
        <is>
          <t>–</t>
        </is>
      </c>
      <c r="M16" s="31" t="inlineStr">
        <is>
          <t>–</t>
        </is>
      </c>
      <c r="N16" s="31" t="inlineStr">
        <is>
          <t>–</t>
        </is>
      </c>
      <c r="O16" s="29" t="inlineStr">
        <is>
          <t>■</t>
        </is>
      </c>
    </row>
    <row r="18" ht="32" customHeight="1">
      <c r="A18" s="14" t="inlineStr">
        <is>
          <t>Cách dùng</t>
        </is>
      </c>
      <c r="B18" s="19" t="inlineStr">
        <is>
          <t>Với mỗi người giao có quyền vldc-directives:create, so danh sách 'Người chủ trì' trên form '+ Giao việc' và GET /api/org/assignees với hàng tương ứng. Người giao không có quyền (vd. kythuat) phải nhận 403 / không thấy nút, dù hàng có ✓ hay không.</t>
        </is>
      </c>
    </row>
  </sheetData>
  <mergeCells count="2">
    <mergeCell ref="A1:O1"/>
    <mergeCell ref="B18:O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2026-10-26T04:33:11Z</dcterms:created>
  <dcterms:modified xmlns:dcterms="http://purl.org/dc/terms/" xmlns:xsi="http://www.w3.org/2001/XMLSchema-instance" xsi:type="dcterms:W3CDTF">2026-10-26T04:33:12Z</dcterms:modified>
</cp:coreProperties>
</file>